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ndrei.flores\Documents\Matriz enrollment\files\"/>
    </mc:Choice>
  </mc:AlternateContent>
  <xr:revisionPtr revIDLastSave="0" documentId="13_ncr:1_{E24E775E-4B66-453F-9673-364E54657F9F}" xr6:coauthVersionLast="47" xr6:coauthVersionMax="47" xr10:uidLastSave="{00000000-0000-0000-0000-000000000000}"/>
  <bookViews>
    <workbookView xWindow="-120" yWindow="-120" windowWidth="29040" windowHeight="15720" activeTab="2" xr2:uid="{406DEAAB-532C-4579-9986-9742B9D9112B}"/>
  </bookViews>
  <sheets>
    <sheet name="TD" sheetId="2" r:id="rId1"/>
    <sheet name="PREGRADO" sheetId="1" r:id="rId2"/>
    <sheet name="Hoja1" sheetId="4" r:id="rId3"/>
    <sheet name="POSGRADO" sheetId="3" r:id="rId4"/>
  </sheets>
  <definedNames>
    <definedName name="_xlnm._FilterDatabase" localSheetId="3" hidden="1">POSGRADO!$A$1:$G$1</definedName>
    <definedName name="_xlnm._FilterDatabase" localSheetId="1" hidden="1">PREGRADO!$B$1:$G$1</definedName>
  </definedName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H334" i="1"/>
  <c r="G334" i="1"/>
  <c r="H333" i="1"/>
  <c r="G333" i="1"/>
  <c r="H332" i="1"/>
  <c r="G332" i="1"/>
  <c r="H331" i="1"/>
  <c r="G331" i="1"/>
  <c r="H330" i="1"/>
  <c r="G330" i="1"/>
  <c r="H329" i="1"/>
  <c r="G329" i="1"/>
  <c r="H328" i="1"/>
  <c r="G328" i="1"/>
  <c r="H325" i="1"/>
  <c r="G325" i="1"/>
  <c r="H324" i="1"/>
  <c r="G324" i="1"/>
  <c r="H323" i="1"/>
  <c r="G323" i="1"/>
  <c r="H322" i="1"/>
  <c r="G322" i="1"/>
  <c r="H321" i="1"/>
  <c r="G321" i="1"/>
  <c r="H320" i="1"/>
  <c r="G320" i="1"/>
  <c r="H319" i="1"/>
  <c r="G319" i="1"/>
  <c r="H316" i="1"/>
  <c r="G316" i="1"/>
  <c r="H315" i="1"/>
  <c r="G315" i="1"/>
  <c r="H314" i="1"/>
  <c r="G314" i="1"/>
  <c r="H313" i="1"/>
  <c r="G313" i="1"/>
  <c r="H312" i="1"/>
  <c r="G312" i="1"/>
  <c r="H311" i="1"/>
  <c r="G311" i="1"/>
  <c r="H310" i="1"/>
  <c r="G310" i="1"/>
  <c r="H307" i="1"/>
  <c r="G307" i="1"/>
  <c r="H306" i="1"/>
  <c r="G306" i="1"/>
  <c r="H305" i="1"/>
  <c r="G305" i="1"/>
  <c r="H304" i="1"/>
  <c r="G304" i="1"/>
  <c r="H303" i="1"/>
  <c r="G303" i="1"/>
  <c r="H302" i="1"/>
  <c r="G302" i="1"/>
  <c r="H301" i="1"/>
  <c r="G301" i="1"/>
  <c r="H298" i="1"/>
  <c r="G298" i="1"/>
  <c r="H297" i="1"/>
  <c r="G297" i="1"/>
  <c r="H296" i="1"/>
  <c r="G296" i="1"/>
  <c r="H295" i="1"/>
  <c r="G295" i="1"/>
  <c r="H294" i="1"/>
  <c r="G294" i="1"/>
  <c r="H293" i="1"/>
  <c r="G293" i="1"/>
  <c r="H292" i="1"/>
  <c r="G292" i="1"/>
  <c r="H289" i="1"/>
  <c r="G289" i="1"/>
  <c r="H288" i="1"/>
  <c r="G288" i="1"/>
  <c r="H287" i="1"/>
  <c r="G287" i="1"/>
  <c r="H286" i="1"/>
  <c r="G286" i="1"/>
  <c r="H285" i="1"/>
  <c r="G285" i="1"/>
  <c r="H284" i="1"/>
  <c r="G284" i="1"/>
  <c r="H283" i="1"/>
  <c r="G283" i="1"/>
  <c r="H280" i="1"/>
  <c r="G280" i="1"/>
  <c r="H279" i="1"/>
  <c r="G279" i="1"/>
  <c r="H278" i="1"/>
  <c r="G278" i="1"/>
  <c r="H277" i="1"/>
  <c r="G277" i="1"/>
  <c r="H276" i="1"/>
  <c r="G276" i="1"/>
  <c r="H275" i="1"/>
  <c r="G275" i="1"/>
  <c r="H274" i="1"/>
  <c r="G274" i="1"/>
  <c r="G265" i="1"/>
  <c r="H271" i="1"/>
  <c r="G271" i="1"/>
  <c r="H270" i="1"/>
  <c r="G270" i="1"/>
  <c r="H269" i="1"/>
  <c r="G269" i="1"/>
  <c r="H268" i="1"/>
  <c r="G268" i="1"/>
  <c r="H267" i="1"/>
  <c r="G267" i="1"/>
  <c r="H266" i="1"/>
  <c r="G266" i="1"/>
  <c r="H265" i="1"/>
  <c r="H261" i="1"/>
  <c r="G261" i="1"/>
  <c r="H260" i="1"/>
  <c r="G260" i="1"/>
  <c r="H259" i="1"/>
  <c r="G259" i="1"/>
  <c r="H258" i="1"/>
  <c r="G258" i="1"/>
  <c r="H257" i="1"/>
  <c r="G257" i="1"/>
  <c r="H256" i="1"/>
  <c r="G256" i="1"/>
  <c r="H255" i="1"/>
  <c r="G255" i="1"/>
  <c r="H252" i="1"/>
  <c r="G252" i="1"/>
  <c r="H251" i="1"/>
  <c r="G251" i="1"/>
  <c r="H250" i="1"/>
  <c r="G250" i="1"/>
  <c r="H249" i="1"/>
  <c r="G249" i="1"/>
  <c r="H248" i="1"/>
  <c r="G248" i="1"/>
  <c r="H247" i="1"/>
  <c r="G247" i="1"/>
  <c r="H246" i="1"/>
  <c r="G246" i="1"/>
  <c r="H243" i="1"/>
  <c r="G243" i="1"/>
  <c r="H242" i="1"/>
  <c r="G242" i="1"/>
  <c r="H241" i="1"/>
  <c r="G241" i="1"/>
  <c r="H240" i="1"/>
  <c r="G240" i="1"/>
  <c r="H239" i="1"/>
  <c r="G239" i="1"/>
  <c r="H238" i="1"/>
  <c r="G238" i="1"/>
  <c r="H237" i="1"/>
  <c r="G237" i="1"/>
  <c r="H234" i="1"/>
  <c r="G234" i="1"/>
  <c r="H233" i="1"/>
  <c r="G233" i="1"/>
  <c r="H232" i="1"/>
  <c r="G232" i="1"/>
  <c r="H231" i="1"/>
  <c r="G231" i="1"/>
  <c r="H230" i="1"/>
  <c r="G230" i="1"/>
  <c r="H229" i="1"/>
  <c r="G229" i="1"/>
  <c r="H228" i="1"/>
  <c r="G228" i="1"/>
  <c r="H225" i="1"/>
  <c r="G225" i="1"/>
  <c r="H224" i="1"/>
  <c r="G224" i="1"/>
  <c r="H223" i="1"/>
  <c r="G223" i="1"/>
  <c r="H222" i="1"/>
  <c r="G222" i="1"/>
  <c r="H221" i="1"/>
  <c r="G221" i="1"/>
  <c r="H220" i="1"/>
  <c r="G220" i="1"/>
  <c r="H219" i="1"/>
  <c r="G219" i="1"/>
  <c r="H216" i="1"/>
  <c r="G216" i="1"/>
  <c r="H215" i="1"/>
  <c r="G215" i="1"/>
  <c r="H214" i="1"/>
  <c r="G214" i="1"/>
  <c r="H213" i="1"/>
  <c r="G213" i="1"/>
  <c r="H212" i="1"/>
  <c r="G212" i="1"/>
  <c r="H211" i="1"/>
  <c r="G211" i="1"/>
  <c r="H210" i="1"/>
  <c r="G210" i="1"/>
  <c r="H207" i="1"/>
  <c r="G207" i="1"/>
  <c r="H206" i="1"/>
  <c r="G206" i="1"/>
  <c r="H205" i="1"/>
  <c r="G205" i="1"/>
  <c r="H204" i="1"/>
  <c r="G204" i="1"/>
  <c r="H203" i="1"/>
  <c r="G203" i="1"/>
  <c r="H202" i="1"/>
  <c r="G202" i="1"/>
  <c r="H201" i="1"/>
  <c r="G201" i="1"/>
  <c r="H198" i="1"/>
  <c r="G198" i="1"/>
  <c r="H197" i="1"/>
  <c r="G197" i="1"/>
  <c r="H196" i="1"/>
  <c r="G196" i="1"/>
  <c r="H195" i="1"/>
  <c r="G195" i="1"/>
  <c r="H194" i="1"/>
  <c r="G194" i="1"/>
  <c r="H193" i="1"/>
  <c r="G193" i="1"/>
  <c r="H192" i="1"/>
  <c r="G192" i="1"/>
  <c r="H189" i="1"/>
  <c r="G189" i="1"/>
  <c r="H188" i="1"/>
  <c r="G188" i="1"/>
  <c r="H187" i="1"/>
  <c r="G187" i="1"/>
  <c r="H186" i="1"/>
  <c r="G186" i="1"/>
  <c r="H185" i="1"/>
  <c r="G185" i="1"/>
  <c r="H184" i="1"/>
  <c r="G184" i="1"/>
  <c r="H183" i="1"/>
  <c r="G183" i="1"/>
  <c r="H180" i="1"/>
  <c r="G180" i="1"/>
  <c r="H179" i="1"/>
  <c r="G179" i="1"/>
  <c r="H178" i="1"/>
  <c r="G178" i="1"/>
  <c r="H177" i="1"/>
  <c r="G177" i="1"/>
  <c r="H176" i="1"/>
  <c r="G176" i="1"/>
  <c r="H175" i="1"/>
  <c r="G175" i="1"/>
  <c r="H174" i="1"/>
  <c r="G174" i="1"/>
  <c r="H171" i="1"/>
  <c r="G171" i="1"/>
  <c r="H170" i="1"/>
  <c r="G170" i="1"/>
  <c r="H169" i="1"/>
  <c r="G169" i="1"/>
  <c r="H168" i="1"/>
  <c r="G168" i="1"/>
  <c r="H167" i="1"/>
  <c r="G167" i="1"/>
  <c r="H166" i="1"/>
  <c r="G166" i="1"/>
  <c r="H165" i="1"/>
  <c r="G165" i="1"/>
  <c r="H162" i="1"/>
  <c r="G162" i="1"/>
  <c r="H161" i="1"/>
  <c r="G161" i="1"/>
  <c r="H160" i="1"/>
  <c r="G160" i="1"/>
  <c r="H159" i="1"/>
  <c r="G159" i="1"/>
  <c r="H158" i="1"/>
  <c r="G158" i="1"/>
  <c r="H157" i="1"/>
  <c r="G157" i="1"/>
  <c r="H156" i="1"/>
  <c r="G156" i="1"/>
  <c r="H153" i="1"/>
  <c r="G153" i="1"/>
  <c r="H152" i="1"/>
  <c r="G152" i="1"/>
  <c r="H151" i="1"/>
  <c r="G151" i="1"/>
  <c r="H150" i="1"/>
  <c r="G150" i="1"/>
  <c r="H149" i="1"/>
  <c r="G149" i="1"/>
  <c r="H148" i="1"/>
  <c r="G148" i="1"/>
  <c r="H147" i="1"/>
  <c r="G147" i="1"/>
  <c r="H144" i="1"/>
  <c r="G144" i="1"/>
  <c r="H143" i="1"/>
  <c r="G143" i="1"/>
  <c r="H142" i="1"/>
  <c r="G142" i="1"/>
  <c r="H141" i="1"/>
  <c r="G141" i="1"/>
  <c r="H140" i="1"/>
  <c r="G140" i="1"/>
  <c r="H139" i="1"/>
  <c r="G139" i="1"/>
  <c r="H138" i="1"/>
  <c r="G138" i="1"/>
  <c r="H135" i="1"/>
  <c r="G135" i="1"/>
  <c r="H134" i="1"/>
  <c r="G134" i="1"/>
  <c r="H133" i="1"/>
  <c r="G133" i="1"/>
  <c r="H132" i="1"/>
  <c r="G132" i="1"/>
  <c r="H131" i="1"/>
  <c r="G131" i="1"/>
  <c r="H130" i="1"/>
  <c r="G130" i="1"/>
  <c r="H129" i="1"/>
  <c r="G129" i="1"/>
  <c r="H126" i="1"/>
  <c r="G126" i="1"/>
  <c r="H125" i="1"/>
  <c r="G125" i="1"/>
  <c r="H124" i="1"/>
  <c r="G124" i="1"/>
  <c r="H123" i="1"/>
  <c r="G123" i="1"/>
  <c r="H122" i="1"/>
  <c r="G122" i="1"/>
  <c r="H121" i="1"/>
  <c r="G121" i="1"/>
  <c r="H120" i="1"/>
  <c r="G120" i="1"/>
  <c r="G113" i="1"/>
  <c r="H117" i="1"/>
  <c r="G117" i="1"/>
  <c r="H116" i="1"/>
  <c r="G116" i="1"/>
  <c r="H115" i="1"/>
  <c r="G115" i="1"/>
  <c r="H114" i="1"/>
  <c r="G114" i="1"/>
  <c r="H113" i="1"/>
  <c r="H110" i="1"/>
  <c r="G110" i="1"/>
  <c r="H109" i="1"/>
  <c r="G109" i="1"/>
  <c r="H108" i="1"/>
  <c r="G108" i="1"/>
  <c r="H107" i="1"/>
  <c r="G107" i="1"/>
  <c r="H106" i="1"/>
  <c r="G106" i="1"/>
  <c r="H105" i="1"/>
  <c r="G105" i="1"/>
  <c r="H104" i="1"/>
  <c r="G104" i="1"/>
  <c r="H101" i="1"/>
  <c r="G101" i="1"/>
  <c r="H100" i="1"/>
  <c r="G100" i="1"/>
  <c r="H99" i="1"/>
  <c r="G99" i="1"/>
  <c r="H98" i="1"/>
  <c r="G98" i="1"/>
  <c r="H97" i="1"/>
  <c r="G97" i="1"/>
  <c r="H96" i="1"/>
  <c r="G96" i="1"/>
  <c r="H95" i="1"/>
  <c r="G95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G64" i="1"/>
  <c r="H64" i="1"/>
  <c r="H63" i="1"/>
  <c r="G63" i="1"/>
  <c r="H62" i="1"/>
  <c r="G62" i="1"/>
  <c r="H61" i="1"/>
  <c r="G61" i="1"/>
  <c r="H60" i="1"/>
  <c r="G60" i="1"/>
  <c r="H59" i="1"/>
  <c r="G59" i="1"/>
  <c r="H58" i="1"/>
  <c r="G58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4" i="1"/>
  <c r="G10" i="1"/>
  <c r="H10" i="1"/>
  <c r="H9" i="1"/>
  <c r="G9" i="1"/>
  <c r="H8" i="1"/>
  <c r="G8" i="1"/>
  <c r="G6" i="1"/>
  <c r="H7" i="1"/>
  <c r="G7" i="1"/>
  <c r="H6" i="1"/>
  <c r="H5" i="1"/>
  <c r="G5" i="1"/>
</calcChain>
</file>

<file path=xl/sharedStrings.xml><?xml version="1.0" encoding="utf-8"?>
<sst xmlns="http://schemas.openxmlformats.org/spreadsheetml/2006/main" count="2474" uniqueCount="193">
  <si>
    <t>SEMESTRE</t>
  </si>
  <si>
    <t>Etiquetas de fila</t>
  </si>
  <si>
    <t>Suma de ENROLLMENT</t>
  </si>
  <si>
    <t>Escuela de Gastronomía</t>
  </si>
  <si>
    <t>Escuela de Música</t>
  </si>
  <si>
    <t>Escuela de Psicología y Educación</t>
  </si>
  <si>
    <t>Facultad de Arquitectura y Diseño</t>
  </si>
  <si>
    <t>Facultad de Ciencias Administrativas y Económicas</t>
  </si>
  <si>
    <t>Facultad de Ciencias Políticas y Relaciones Internacionales</t>
  </si>
  <si>
    <t>Facultad de Comunicación y Artes Audiovisuales</t>
  </si>
  <si>
    <t>Facultad de Derecho</t>
  </si>
  <si>
    <t>Facultad de Ingenierías y Ciencias Aplicadas</t>
  </si>
  <si>
    <t>Facultad de Medicina</t>
  </si>
  <si>
    <t>Facultad de Odontología</t>
  </si>
  <si>
    <t>Facultad de Salud</t>
  </si>
  <si>
    <t>Total general</t>
  </si>
  <si>
    <t>Suma de INGRESOS</t>
  </si>
  <si>
    <t>NIVEL ACADÉMICO</t>
  </si>
  <si>
    <t>FACULTAD</t>
  </si>
  <si>
    <t>CARRERA</t>
  </si>
  <si>
    <t>ENROLLMENT</t>
  </si>
  <si>
    <t>INGRESOS</t>
  </si>
  <si>
    <t>Variación Enrollment</t>
  </si>
  <si>
    <t>Variación Ingresos</t>
  </si>
  <si>
    <t>PREGRADO</t>
  </si>
  <si>
    <t>GASTRONOMIA</t>
  </si>
  <si>
    <t>ARTES MUSICALES</t>
  </si>
  <si>
    <t>EDUCACION</t>
  </si>
  <si>
    <t>PSICOLOGIA</t>
  </si>
  <si>
    <t>ARQUITECTURA</t>
  </si>
  <si>
    <t>ARQUITECTURA DE INTERIORES</t>
  </si>
  <si>
    <t>DISEÑO DE PRODUCTOS</t>
  </si>
  <si>
    <t>ADMINISTRACION DE EMPRESAS</t>
  </si>
  <si>
    <t>ADMINISTRACIÓN DE EMPRESAS</t>
  </si>
  <si>
    <t>CONTABILIDAD Y AUDITORÍA</t>
  </si>
  <si>
    <t>ECONOMIA</t>
  </si>
  <si>
    <t>FINANZAS</t>
  </si>
  <si>
    <t>MARKETING</t>
  </si>
  <si>
    <t>NEGOCIOS DEPORTIVOS</t>
  </si>
  <si>
    <t>NEGOCIOS DIGITALES</t>
  </si>
  <si>
    <t>NEGOCIOS INTERNACIONALES</t>
  </si>
  <si>
    <t>TURISMO Y HOTELERÍA</t>
  </si>
  <si>
    <t>RELACIONES INTERNACIONALES</t>
  </si>
  <si>
    <t>CINE</t>
  </si>
  <si>
    <t>COMUNICACION</t>
  </si>
  <si>
    <t>DISEÑO GRAFICO Y COMUNICACION VISUAL</t>
  </si>
  <si>
    <t>MULTIMEDIA Y PRODUCCION AUDIOVISUAL</t>
  </si>
  <si>
    <t>PERIODISMO</t>
  </si>
  <si>
    <t>PUBLICIDAD</t>
  </si>
  <si>
    <t>DERECHO</t>
  </si>
  <si>
    <t>AGROINDUSTRIA</t>
  </si>
  <si>
    <t>AMBIENTAL</t>
  </si>
  <si>
    <t>BIOTECNOLOGIA</t>
  </si>
  <si>
    <t>BIOTECNOLOGÍA</t>
  </si>
  <si>
    <t>CIBERSEGURIDAD</t>
  </si>
  <si>
    <t>ELECTRONICA Y AUTOMATIZACION</t>
  </si>
  <si>
    <t>ELECTRÓNICA Y AUTOMATIZACIÓN</t>
  </si>
  <si>
    <t>INDUSTRIAL</t>
  </si>
  <si>
    <t>INTELIGENCIA ARTIFICIAL</t>
  </si>
  <si>
    <t>NETWORKING Y TELECOMUNICACIONES</t>
  </si>
  <si>
    <t>SOFTWARE</t>
  </si>
  <si>
    <t>SONIDO Y ACUSTICA</t>
  </si>
  <si>
    <t>SONIDO Y ACÚSTICA</t>
  </si>
  <si>
    <t>MEDICINA</t>
  </si>
  <si>
    <t>ODONTOLOGIA</t>
  </si>
  <si>
    <t>ENFERMERIA</t>
  </si>
  <si>
    <t>FISIOTERAPIA</t>
  </si>
  <si>
    <t>MEDICINA VETERINARIA</t>
  </si>
  <si>
    <t>Facultad</t>
  </si>
  <si>
    <t>Carrera</t>
  </si>
  <si>
    <t>Variable</t>
  </si>
  <si>
    <t>Gastronomía</t>
  </si>
  <si>
    <t>Crecimiento Ingresos</t>
  </si>
  <si>
    <t>Artes Musicales</t>
  </si>
  <si>
    <t>Educación</t>
  </si>
  <si>
    <t>Psicología</t>
  </si>
  <si>
    <t>Arquitectura</t>
  </si>
  <si>
    <t>Arquitectura de Interiores</t>
  </si>
  <si>
    <t>Diseño de Productos</t>
  </si>
  <si>
    <t>Facultad de Ciencias Económicas y Administrativas</t>
  </si>
  <si>
    <t>Administración de Empresas</t>
  </si>
  <si>
    <t>Economía</t>
  </si>
  <si>
    <t>Finanzas</t>
  </si>
  <si>
    <t>Marketing</t>
  </si>
  <si>
    <t>Negocios Deportivos</t>
  </si>
  <si>
    <t>Negocios Digitales</t>
  </si>
  <si>
    <t>Negocios Internacionales</t>
  </si>
  <si>
    <t>Turismo y Hotelería</t>
  </si>
  <si>
    <t>Escuela de Relaciones Internacionales y Ciencias Políticas</t>
  </si>
  <si>
    <t>Relaciones Internacionales</t>
  </si>
  <si>
    <t>Cine</t>
  </si>
  <si>
    <t>Comunicación</t>
  </si>
  <si>
    <t>Diseño Gráfico y Comunicación Visual</t>
  </si>
  <si>
    <t>Multimedia y Producción Audiovisual</t>
  </si>
  <si>
    <t>Periodismo</t>
  </si>
  <si>
    <t>Publicidad</t>
  </si>
  <si>
    <t>Derecho</t>
  </si>
  <si>
    <t>Agroindustria</t>
  </si>
  <si>
    <t>Ambiental</t>
  </si>
  <si>
    <t>Biotecnología</t>
  </si>
  <si>
    <t>Ciberseguridad</t>
  </si>
  <si>
    <t>Electrónica y Automatización</t>
  </si>
  <si>
    <t>Industrial</t>
  </si>
  <si>
    <t>Networking y Telecomunicaciones</t>
  </si>
  <si>
    <t>Software</t>
  </si>
  <si>
    <t>Sonido y Acústica</t>
  </si>
  <si>
    <t>Medicina</t>
  </si>
  <si>
    <t>Odontología</t>
  </si>
  <si>
    <t>Enfermería</t>
  </si>
  <si>
    <t>Fisioterapia</t>
  </si>
  <si>
    <t>Veterinaria</t>
  </si>
  <si>
    <t>EN LÍNEA</t>
  </si>
  <si>
    <t>MAESTRÍAS EN GERENCIA DE INSTITUCIONES DE SALUD</t>
  </si>
  <si>
    <t>MAESTRÍA EN SEGURIDAD Y SALUD OCUPACIONAL</t>
  </si>
  <si>
    <t>ESCUELA DE CIENCIAS POLÍTICAS Y RELACIONES INTERNACIONALES</t>
  </si>
  <si>
    <t>MAESTRÍA EN GERENCIA POLITICA, GOBERNANZA Y GOBERNABILIDAD</t>
  </si>
  <si>
    <t>ESCUELA DE NEGOCIOS</t>
  </si>
  <si>
    <t>MAESTRÍA EN ADMINISTRACION EMPRESAS</t>
  </si>
  <si>
    <t>MAESTRÍA EN GESTION DE PROYECTOS</t>
  </si>
  <si>
    <t>MAESTRÍA EN FINANZAS CON MENCIÓN EN MERCADO DE VALORES Y BANCA</t>
  </si>
  <si>
    <t>MAESTRÍA EN MARKEETING CON MENCIÓN EN GERENCIA DE MARCA</t>
  </si>
  <si>
    <t>MAESTRÍA EN ADMINISTRACIÓN Y GERENCIA ORGANIZACIONAL</t>
  </si>
  <si>
    <t>MAESTÍA EN MARKETING CON MENCIÓN EN ESTRATEGIA DIGITAL</t>
  </si>
  <si>
    <t>MAESTRÍA EN MARKETING CON MENCIÓN EN GERENCIA DE MARCA</t>
  </si>
  <si>
    <t>MAESTRÍA EN MARKETING CON MENCIÓN EN ESTRATEGÍA DIGITAL</t>
  </si>
  <si>
    <t>MAESTRIA EN FINANZAS</t>
  </si>
  <si>
    <t>ESCUELA DE PSICOLOGÍA Y EDUCACIÓN</t>
  </si>
  <si>
    <t>MAESTRÍA EN NEUROPSICOLOGÍA CLINICA</t>
  </si>
  <si>
    <t>MAESTRIA EN PSICOTERAPIA</t>
  </si>
  <si>
    <t>FACULTAD DE ARQUITECTURA Y DISEÑO</t>
  </si>
  <si>
    <t>MAESTRÍA EN DISEÑO ARQUITECTONICO AVANZADO</t>
  </si>
  <si>
    <t>MAESTRÍA EN URBANISMO MENCIÓN GESTIÓN DE LA CIUDAD</t>
  </si>
  <si>
    <t>FACULTAD DE CIENCIAS DE LA SALUD</t>
  </si>
  <si>
    <t>MAESTRÍA EN TERAPIA RESPIRATORIA</t>
  </si>
  <si>
    <t>MAESTRÍA EN TERAPIA MANUAL ORTEPEDICA INTEGRAL</t>
  </si>
  <si>
    <t>MAESTRIA EN ENFERMERIA</t>
  </si>
  <si>
    <t>ESPECIALIDAD EN ANESTESIOLOGIA</t>
  </si>
  <si>
    <t>ESPECIALIDAD EN ORTOPEDEDIA Y TRAUMATOLOGÍA</t>
  </si>
  <si>
    <t>ESPECIALIDAD EN CIRUGIA GENERAL</t>
  </si>
  <si>
    <t>MAESTRÍA DE ENFERMERÍA</t>
  </si>
  <si>
    <t>ESPECIALIDAD EN ENDOCRINOLOGIA</t>
  </si>
  <si>
    <t>ESPECIALIDAD EN NEUROLOGIA</t>
  </si>
  <si>
    <t>ESPECIALIDAD EN GINECOLOGIA Y OBSTETRICIA</t>
  </si>
  <si>
    <t>ESPECIALIDAD EN MEDICINA CRITICA Y CUIDADOS INTENSIVOS</t>
  </si>
  <si>
    <t>ESPECIALIDAD EN CARDIOLOGIA</t>
  </si>
  <si>
    <t>ESPECIALIDAD EN NEUMOLOGIA</t>
  </si>
  <si>
    <t>ESPECIALIDAD EN PEDIATRÍA</t>
  </si>
  <si>
    <t>MAESTRÍA EN NUTRICION PEDIATRICA</t>
  </si>
  <si>
    <t>ESPECIALIDAD EN UROLOGIA</t>
  </si>
  <si>
    <t>FACULTAD DE CIENCIAS ECONÓMICAS Y ADMINISTRATIVAS</t>
  </si>
  <si>
    <t>MAESTRÍA EN GESTIÓN DE TALENTO HUMANO</t>
  </si>
  <si>
    <t>MAESTRIA EN ECONOMETRIA</t>
  </si>
  <si>
    <t>FACULTAD DE COMUNICACIÓN Y ARTES AUDIOVISUALES</t>
  </si>
  <si>
    <t>MAESTRÍA EN DIRECCIÓN Y POSTPRODUCCIÓN AUDIOVISUAL DIGITAL</t>
  </si>
  <si>
    <t>MAESTRÍA EN COMUNICACION POLITICA</t>
  </si>
  <si>
    <t>FACULTAD DE DERECHO</t>
  </si>
  <si>
    <t>MAESTRIA EN DERECHO DIGITAL E INNOVACIÓN MENCIÓN ECONOMÍA</t>
  </si>
  <si>
    <t>MAESTRÍA EN DERECHO PROCESAL CONSTITUCIONAL</t>
  </si>
  <si>
    <t>MAESTRÍA EN ARBITRAJE COMERCIAL Y DE INVERSIONES</t>
  </si>
  <si>
    <t>MAESTRÍA EN DERERECHO PENAL CON MENCIÓN EN CRIMINALIDAD COMPLEJA</t>
  </si>
  <si>
    <t>FACULTAD DE INGENIERÍAS Y CIENCIAS APLICADAS</t>
  </si>
  <si>
    <t>MAESTRÍA EN DESARROLLO E INNOVACIÓN DE ALIMENTOS</t>
  </si>
  <si>
    <t>MAESTRÍA EN GESTIÓN DE SEGURIDAD DE LA INFORMACION</t>
  </si>
  <si>
    <t>MAESTRIA EN DIRECCIÓN DE OPERACIONES Y SEGURIDAD INDUSTRIAL</t>
  </si>
  <si>
    <t>MAESTRÍA EN TELECOMUNICACIONES CON MENCION EN GESTION DE LAS TELECOMUNICACIONES</t>
  </si>
  <si>
    <t>MAESTRÍA EN GESTIÓN DE PROCESOS Y TRANSFORMACIÓN DIGITAL</t>
  </si>
  <si>
    <t>MAESTRÍA EN GESTIÓN Y AUTOMATIZACIÓN DE PROCESOS</t>
  </si>
  <si>
    <t>MAESTRÍA EN TRANSFORMACIÓN DIGITAL Y GESTIÓN DE LA INNOVACIÓN</t>
  </si>
  <si>
    <t>FACULTAD DE ODONTOLOGIA</t>
  </si>
  <si>
    <t>ESPECIALIDAD EN PERIODONCIA E IMPLATACIÓN QUIRÚRGICA</t>
  </si>
  <si>
    <t>ESPECIALIDAD EN REHABILITACIÓN ORAL Y PROTESIS IMPLANTOASISTIDA</t>
  </si>
  <si>
    <t>ESPECIALIDAD EN ENDODONCIA</t>
  </si>
  <si>
    <t>ESPECIALIDAD EN ORTODONCIA</t>
  </si>
  <si>
    <t>FACULTAD DE POSGRADOS</t>
  </si>
  <si>
    <t>MAESTRÍA EN FILOSOFÍA, POLÍTICA Y ECONOMÍA</t>
  </si>
  <si>
    <t>OTRA</t>
  </si>
  <si>
    <t>GEREN.SIST.Y TEC. EMPRESARIAL</t>
  </si>
  <si>
    <t>MAESTRÍA EN AGROINDUSTRIAL  CON MENCIÓN EN CALIDAD Y SEGURIDAD DE ALIMENTOS</t>
  </si>
  <si>
    <t>MAESTRÍA EN COMERCIO CON MENCIÓN EN EMP.INOV</t>
  </si>
  <si>
    <t>MAESTRÍA EN DIRECCIÓN COMUN EMPRE INSTITU</t>
  </si>
  <si>
    <t>MAESTRÍA EN ADMINISTRACIÓN E EMPRESAS MEN.DIR.EST.PRY</t>
  </si>
  <si>
    <t>MAESTRÍA EN DESARROLLO LOCAL</t>
  </si>
  <si>
    <t>MAESTRÍA EN EXPERIENCIA DE USUARIO</t>
  </si>
  <si>
    <t>MAESTRIA NEURORREHABILITACIÓN</t>
  </si>
  <si>
    <t>MAESTRÍA EN INNOVACION EN EDUCACION</t>
  </si>
  <si>
    <t>202210</t>
  </si>
  <si>
    <t>202310</t>
  </si>
  <si>
    <t>202410</t>
  </si>
  <si>
    <t>202510</t>
  </si>
  <si>
    <t>202220</t>
  </si>
  <si>
    <t>202320</t>
  </si>
  <si>
    <t>202420</t>
  </si>
  <si>
    <t>Crecimiento Matriculas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</si>
</sst>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theme="4" tint="0.7999816888943144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0" xfId="0" applyFont="1" applyFill="1"/>
    <xf numFmtId="0" fontId="0" fillId="0" borderId="1" xfId="0" applyBorder="1"/>
    <xf numFmtId="0" fontId="0" fillId="0" borderId="2" xfId="0" applyBorder="1"/>
    <xf numFmtId="9" fontId="2" fillId="2" borderId="0" xfId="1" applyFont="1" applyFill="1"/>
    <xf numFmtId="9" fontId="0" fillId="0" borderId="0" xfId="1" applyFont="1"/>
    <xf numFmtId="9" fontId="0" fillId="0" borderId="1" xfId="1" applyFont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3" fillId="0" borderId="0" xfId="0" applyFont="1"/>
    <xf numFmtId="0" fontId="3" fillId="0" borderId="0" xfId="0" applyFont="1" applyAlignment="1">
      <alignment horizontal="center"/>
    </xf>
    <xf numFmtId="9" fontId="0" fillId="0" borderId="0" xfId="1" applyFont="1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3" xfId="0" applyFont="1" applyBorder="1"/>
    <xf numFmtId="9" fontId="0" fillId="0" borderId="3" xfId="1" applyFont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horizontal="center"/>
    </xf>
  </cellXfs>
  <cellStyles count="2">
    <cellStyle name="Normal" xfId="0" builtinId="0"/>
    <cellStyle name="Porcentaje" xfId="1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 tint="0.79998168889431442"/>
          <bgColor theme="4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[base_matriz2.xlsx]TD!TablaDinámica17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TD!$B$3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D86-4B2A-9148-53CB7B76326C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D86-4B2A-9148-53CB7B76326C}"/>
              </c:ext>
            </c:extLst>
          </c:dPt>
          <c:dPt>
            <c:idx val="2"/>
            <c:bubble3D val="0"/>
            <c:spPr>
              <a:solidFill>
                <a:schemeClr val="dk1">
                  <a:tint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D86-4B2A-9148-53CB7B76326C}"/>
              </c:ext>
            </c:extLst>
          </c:dPt>
          <c:dPt>
            <c:idx val="3"/>
            <c:bubble3D val="0"/>
            <c:spPr>
              <a:solidFill>
                <a:schemeClr val="dk1">
                  <a:tint val="9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D86-4B2A-9148-53CB7B76326C}"/>
              </c:ext>
            </c:extLst>
          </c:dPt>
          <c:dPt>
            <c:idx val="4"/>
            <c:bubble3D val="0"/>
            <c:spPr>
              <a:solidFill>
                <a:schemeClr val="dk1">
                  <a:tint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D86-4B2A-9148-53CB7B76326C}"/>
              </c:ext>
            </c:extLst>
          </c:dPt>
          <c:dPt>
            <c:idx val="5"/>
            <c:bubble3D val="0"/>
            <c:spPr>
              <a:solidFill>
                <a:schemeClr val="dk1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D86-4B2A-9148-53CB7B76326C}"/>
              </c:ext>
            </c:extLst>
          </c:dPt>
          <c:dPt>
            <c:idx val="6"/>
            <c:bubble3D val="0"/>
            <c:spPr>
              <a:solidFill>
                <a:schemeClr val="dk1">
                  <a:tint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D86-4B2A-9148-53CB7B76326C}"/>
              </c:ext>
            </c:extLst>
          </c:dPt>
          <c:dPt>
            <c:idx val="7"/>
            <c:bubble3D val="0"/>
            <c:spPr>
              <a:solidFill>
                <a:schemeClr val="dk1">
                  <a:tint val="8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D86-4B2A-9148-53CB7B76326C}"/>
              </c:ext>
            </c:extLst>
          </c:dPt>
          <c:dPt>
            <c:idx val="8"/>
            <c:bubble3D val="0"/>
            <c:spPr>
              <a:solidFill>
                <a:schemeClr val="dk1">
                  <a:tint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D86-4B2A-9148-53CB7B76326C}"/>
              </c:ext>
            </c:extLst>
          </c:dPt>
          <c:dPt>
            <c:idx val="9"/>
            <c:bubble3D val="0"/>
            <c:spPr>
              <a:solidFill>
                <a:schemeClr val="dk1">
                  <a:tint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D86-4B2A-9148-53CB7B76326C}"/>
              </c:ext>
            </c:extLst>
          </c:dPt>
          <c:dPt>
            <c:idx val="10"/>
            <c:bubble3D val="0"/>
            <c:spPr>
              <a:solidFill>
                <a:schemeClr val="dk1">
                  <a:tint val="9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D86-4B2A-9148-53CB7B76326C}"/>
              </c:ext>
            </c:extLst>
          </c:dPt>
          <c:dPt>
            <c:idx val="11"/>
            <c:bubble3D val="0"/>
            <c:spPr>
              <a:solidFill>
                <a:schemeClr val="dk1">
                  <a:tint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D86-4B2A-9148-53CB7B7632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TD!$A$4:$A$6</c:f>
              <c:strCache>
                <c:ptCount val="2"/>
                <c:pt idx="0">
                  <c:v>Facultad de Comunicación y Artes Audiovisuales</c:v>
                </c:pt>
                <c:pt idx="1">
                  <c:v>Facultad de Derecho</c:v>
                </c:pt>
              </c:strCache>
            </c:strRef>
          </c:cat>
          <c:val>
            <c:numRef>
              <c:f>TD!$B$4:$B$6</c:f>
              <c:numCache>
                <c:formatCode>0.00%</c:formatCode>
                <c:ptCount val="2"/>
                <c:pt idx="0">
                  <c:v>0.51910828025477707</c:v>
                </c:pt>
                <c:pt idx="1">
                  <c:v>0.48089171974522293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8C-4E12-B928-34563041FDC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[base_matriz2.xlsx]TD!TablaDinámica18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TD!$B$23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EA-4FB7-B2D8-25BB93386A7A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EA-4FB7-B2D8-25BB93386A7A}"/>
              </c:ext>
            </c:extLst>
          </c:dPt>
          <c:dPt>
            <c:idx val="2"/>
            <c:bubble3D val="0"/>
            <c:spPr>
              <a:solidFill>
                <a:schemeClr val="dk1">
                  <a:tint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AEA-4FB7-B2D8-25BB93386A7A}"/>
              </c:ext>
            </c:extLst>
          </c:dPt>
          <c:dPt>
            <c:idx val="3"/>
            <c:bubble3D val="0"/>
            <c:spPr>
              <a:solidFill>
                <a:schemeClr val="dk1">
                  <a:tint val="9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AEA-4FB7-B2D8-25BB93386A7A}"/>
              </c:ext>
            </c:extLst>
          </c:dPt>
          <c:dPt>
            <c:idx val="4"/>
            <c:bubble3D val="0"/>
            <c:spPr>
              <a:solidFill>
                <a:schemeClr val="dk1">
                  <a:tint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AEA-4FB7-B2D8-25BB93386A7A}"/>
              </c:ext>
            </c:extLst>
          </c:dPt>
          <c:dPt>
            <c:idx val="5"/>
            <c:bubble3D val="0"/>
            <c:spPr>
              <a:solidFill>
                <a:schemeClr val="dk1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AEA-4FB7-B2D8-25BB93386A7A}"/>
              </c:ext>
            </c:extLst>
          </c:dPt>
          <c:dPt>
            <c:idx val="6"/>
            <c:bubble3D val="0"/>
            <c:spPr>
              <a:solidFill>
                <a:schemeClr val="dk1">
                  <a:tint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AEA-4FB7-B2D8-25BB93386A7A}"/>
              </c:ext>
            </c:extLst>
          </c:dPt>
          <c:dPt>
            <c:idx val="7"/>
            <c:bubble3D val="0"/>
            <c:spPr>
              <a:solidFill>
                <a:schemeClr val="dk1">
                  <a:tint val="8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AEA-4FB7-B2D8-25BB93386A7A}"/>
              </c:ext>
            </c:extLst>
          </c:dPt>
          <c:dPt>
            <c:idx val="8"/>
            <c:bubble3D val="0"/>
            <c:spPr>
              <a:solidFill>
                <a:schemeClr val="dk1">
                  <a:tint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AEA-4FB7-B2D8-25BB93386A7A}"/>
              </c:ext>
            </c:extLst>
          </c:dPt>
          <c:dPt>
            <c:idx val="9"/>
            <c:bubble3D val="0"/>
            <c:spPr>
              <a:solidFill>
                <a:schemeClr val="dk1">
                  <a:tint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AEA-4FB7-B2D8-25BB93386A7A}"/>
              </c:ext>
            </c:extLst>
          </c:dPt>
          <c:dPt>
            <c:idx val="10"/>
            <c:bubble3D val="0"/>
            <c:spPr>
              <a:solidFill>
                <a:schemeClr val="dk1">
                  <a:tint val="9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AEA-4FB7-B2D8-25BB93386A7A}"/>
              </c:ext>
            </c:extLst>
          </c:dPt>
          <c:dPt>
            <c:idx val="11"/>
            <c:bubble3D val="0"/>
            <c:spPr>
              <a:solidFill>
                <a:schemeClr val="dk1">
                  <a:tint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AEA-4FB7-B2D8-25BB93386A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TD!$A$24:$A$36</c:f>
              <c:strCache>
                <c:ptCount val="12"/>
                <c:pt idx="0">
                  <c:v>Escuela de Gastronomía</c:v>
                </c:pt>
                <c:pt idx="1">
                  <c:v>Escuela de Música</c:v>
                </c:pt>
                <c:pt idx="2">
                  <c:v>Escuela de Psicología y Educación</c:v>
                </c:pt>
                <c:pt idx="3">
                  <c:v>Facultad de Arquitectura y Diseño</c:v>
                </c:pt>
                <c:pt idx="4">
                  <c:v>Facultad de Ciencias Administrativas y Económicas</c:v>
                </c:pt>
                <c:pt idx="5">
                  <c:v>Facultad de Ciencias Políticas y Relaciones Internacionales</c:v>
                </c:pt>
                <c:pt idx="6">
                  <c:v>Facultad de Comunicación y Artes Audiovisuales</c:v>
                </c:pt>
                <c:pt idx="7">
                  <c:v>Facultad de Derecho</c:v>
                </c:pt>
                <c:pt idx="8">
                  <c:v>Facultad de Ingenierías y Ciencias Aplicadas</c:v>
                </c:pt>
                <c:pt idx="9">
                  <c:v>Facultad de Medicina</c:v>
                </c:pt>
                <c:pt idx="10">
                  <c:v>Facultad de Odontología</c:v>
                </c:pt>
                <c:pt idx="11">
                  <c:v>Facultad de Salud</c:v>
                </c:pt>
              </c:strCache>
            </c:strRef>
          </c:cat>
          <c:val>
            <c:numRef>
              <c:f>TD!$B$24:$B$36</c:f>
              <c:numCache>
                <c:formatCode>0.00%</c:formatCode>
                <c:ptCount val="12"/>
                <c:pt idx="0">
                  <c:v>4.3420666553101034E-2</c:v>
                </c:pt>
                <c:pt idx="1">
                  <c:v>8.7757920350246439E-3</c:v>
                </c:pt>
                <c:pt idx="2">
                  <c:v>5.5383739776826021E-2</c:v>
                </c:pt>
                <c:pt idx="3">
                  <c:v>6.0783812292548201E-2</c:v>
                </c:pt>
                <c:pt idx="4">
                  <c:v>0.16411649248890442</c:v>
                </c:pt>
                <c:pt idx="5">
                  <c:v>1.7646194479191399E-2</c:v>
                </c:pt>
                <c:pt idx="6">
                  <c:v>6.4776996960154501E-2</c:v>
                </c:pt>
                <c:pt idx="7">
                  <c:v>4.4041886759774065E-2</c:v>
                </c:pt>
                <c:pt idx="8">
                  <c:v>0.1451352769485055</c:v>
                </c:pt>
                <c:pt idx="9">
                  <c:v>0.22833912634311898</c:v>
                </c:pt>
                <c:pt idx="10">
                  <c:v>5.7606353383436365E-2</c:v>
                </c:pt>
                <c:pt idx="11">
                  <c:v>0.10997366197941495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FC-4404-BDF8-8C829861C7E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2</xdr:row>
      <xdr:rowOff>9525</xdr:rowOff>
    </xdr:from>
    <xdr:to>
      <xdr:col>9</xdr:col>
      <xdr:colOff>136525</xdr:colOff>
      <xdr:row>16</xdr:row>
      <xdr:rowOff>180975</xdr:rowOff>
    </xdr:to>
    <xdr:graphicFrame macro="">
      <xdr:nvGraphicFramePr>
        <xdr:cNvPr id="2" name="grafico1">
          <a:extLst>
            <a:ext uri="{FF2B5EF4-FFF2-40B4-BE49-F238E27FC236}">
              <a16:creationId xmlns:a16="http://schemas.microsoft.com/office/drawing/2014/main" id="{8C7C0C46-7777-F67F-84A9-138EDF5A31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374650</xdr:colOff>
      <xdr:row>20</xdr:row>
      <xdr:rowOff>44450</xdr:rowOff>
    </xdr:from>
    <xdr:to>
      <xdr:col>7</xdr:col>
      <xdr:colOff>692150</xdr:colOff>
      <xdr:row>35</xdr:row>
      <xdr:rowOff>25400</xdr:rowOff>
    </xdr:to>
    <xdr:graphicFrame macro="">
      <xdr:nvGraphicFramePr>
        <xdr:cNvPr id="3" name="grafico2">
          <a:extLst>
            <a:ext uri="{FF2B5EF4-FFF2-40B4-BE49-F238E27FC236}">
              <a16:creationId xmlns:a16="http://schemas.microsoft.com/office/drawing/2014/main" id="{3C7E5944-3128-A07E-923F-CF3D045524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ménica Nicole Villalva" refreshedDate="45671.641513310184" createdVersion="8" refreshedVersion="8" minRefreshableVersion="3" recordCount="333" xr:uid="{F90D8BF5-0E2C-4CE3-B5B1-77D4737F3A1E}">
  <cacheSource type="worksheet">
    <worksheetSource ref="B1:H334" sheet="PREGRADO"/>
  </cacheSource>
  <cacheFields count="7">
    <cacheField name="SEMESTRE" numFmtId="0">
      <sharedItems containsSemiMixedTypes="0" containsString="0" containsNumber="1" containsInteger="1" minValue="202110" maxValue="202510" count="9">
        <n v="202110"/>
        <n v="202120"/>
        <n v="202210"/>
        <n v="202220"/>
        <n v="202310"/>
        <n v="202320"/>
        <n v="202410"/>
        <n v="202420"/>
        <n v="202510"/>
      </sharedItems>
    </cacheField>
    <cacheField name="FACULTAD" numFmtId="0">
      <sharedItems count="12">
        <s v="Escuela de Gastronomía"/>
        <s v="Escuela de Música"/>
        <s v="Escuela de Psicología y Educación"/>
        <s v="Facultad de Arquitectura y Diseño"/>
        <s v="Facultad de Ciencias Administrativas y Económicas"/>
        <s v="Facultad de Ciencias Políticas y Relaciones Internacionales"/>
        <s v="Facultad de Comunicación y Artes Audiovisuales"/>
        <s v="Facultad de Derecho"/>
        <s v="Facultad de Ingenierías y Ciencias Aplicadas"/>
        <s v="Facultad de Medicina"/>
        <s v="Facultad de Odontología"/>
        <s v="Facultad de Salud"/>
      </sharedItems>
    </cacheField>
    <cacheField name="CARRERA" numFmtId="0">
      <sharedItems/>
    </cacheField>
    <cacheField name="ENROLLMENT" numFmtId="0">
      <sharedItems containsSemiMixedTypes="0" containsString="0" containsNumber="1" containsInteger="1" minValue="1" maxValue="419"/>
    </cacheField>
    <cacheField name="INGRESOS" numFmtId="0">
      <sharedItems containsSemiMixedTypes="0" containsString="0" containsNumber="1" minValue="2379" maxValue="1846866.41"/>
    </cacheField>
    <cacheField name="Variación Enrollment" numFmtId="9">
      <sharedItems containsString="0" containsBlank="1" containsNumber="1" minValue="-0.93939393939393945" maxValue="15"/>
    </cacheField>
    <cacheField name="Variación Ingresos" numFmtId="9">
      <sharedItems containsString="0" containsBlank="1" containsNumber="1" minValue="-0.94658145166377927" maxValue="18.3549028870437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3">
  <r>
    <x v="0"/>
    <x v="0"/>
    <s v="GASTRONOMIA"/>
    <n v="37"/>
    <n v="92233.24"/>
    <m/>
    <m/>
  </r>
  <r>
    <x v="1"/>
    <x v="0"/>
    <s v="GASTRONOMIA"/>
    <n v="28"/>
    <n v="69231.850000000006"/>
    <n v="-0.24324324324324326"/>
    <n v="-0.24938286890929992"/>
  </r>
  <r>
    <x v="2"/>
    <x v="0"/>
    <s v="GASTRONOMIA"/>
    <n v="67"/>
    <n v="183574.09"/>
    <n v="1.3928571428571428"/>
    <n v="1.6515843502665317"/>
  </r>
  <r>
    <x v="3"/>
    <x v="0"/>
    <s v="GASTRONOMIA"/>
    <n v="34"/>
    <n v="88420.260000000009"/>
    <n v="-0.4925373134328358"/>
    <n v="-0.51834019713784218"/>
  </r>
  <r>
    <x v="4"/>
    <x v="0"/>
    <s v="GASTRONOMIA"/>
    <n v="88"/>
    <n v="226437.38999999998"/>
    <n v="1.588235294117647"/>
    <n v="1.5609220104080215"/>
  </r>
  <r>
    <x v="5"/>
    <x v="0"/>
    <s v="GASTRONOMIA"/>
    <n v="57"/>
    <n v="138926.59"/>
    <n v="-0.35227272727272729"/>
    <n v="-0.3864679768654814"/>
  </r>
  <r>
    <x v="6"/>
    <x v="0"/>
    <s v="GASTRONOMIA"/>
    <n v="85"/>
    <n v="204006.38"/>
    <n v="0.49122807017543857"/>
    <n v="0.46844732890946228"/>
  </r>
  <r>
    <x v="7"/>
    <x v="0"/>
    <s v="GASTRONOMIA"/>
    <n v="53"/>
    <n v="109255.38"/>
    <n v="-0.37647058823529411"/>
    <n v="-0.46445116079212817"/>
  </r>
  <r>
    <x v="8"/>
    <x v="0"/>
    <s v="GASTRONOMIA"/>
    <n v="120"/>
    <n v="295209.69"/>
    <n v="1.2641509433962264"/>
    <n v="1.7020151318864114"/>
  </r>
  <r>
    <x v="0"/>
    <x v="1"/>
    <s v="ARTES MUSICALES"/>
    <n v="26"/>
    <n v="65015.21"/>
    <m/>
    <m/>
  </r>
  <r>
    <x v="1"/>
    <x v="1"/>
    <s v="ARTES MUSICALES"/>
    <n v="7"/>
    <n v="19021.47"/>
    <n v="-0.73076923076923073"/>
    <n v="-0.70743046127206233"/>
  </r>
  <r>
    <x v="2"/>
    <x v="1"/>
    <s v="ARTES MUSICALES"/>
    <n v="33"/>
    <n v="82426.8"/>
    <n v="3.7142857142857144"/>
    <n v="3.3333559393674621"/>
  </r>
  <r>
    <x v="3"/>
    <x v="1"/>
    <s v="ARTES MUSICALES"/>
    <n v="2"/>
    <n v="4403.12"/>
    <n v="-0.93939393939393945"/>
    <n v="-0.94658145166377927"/>
  </r>
  <r>
    <x v="4"/>
    <x v="1"/>
    <s v="ARTES MUSICALES"/>
    <n v="32"/>
    <n v="85221.96"/>
    <n v="15"/>
    <n v="18.354902887043735"/>
  </r>
  <r>
    <x v="5"/>
    <x v="1"/>
    <s v="ARTES MUSICALES"/>
    <n v="25"/>
    <n v="57403.040000000001"/>
    <n v="-0.21875"/>
    <n v="-0.32642900961207655"/>
  </r>
  <r>
    <x v="6"/>
    <x v="1"/>
    <s v="ARTES MUSICALES"/>
    <n v="26"/>
    <n v="63620.22"/>
    <n v="0.04"/>
    <n v="0.10830750427155078"/>
  </r>
  <r>
    <x v="7"/>
    <x v="1"/>
    <s v="ARTES MUSICALES"/>
    <n v="13"/>
    <n v="32554.35"/>
    <n v="-0.5"/>
    <n v="-0.48830183234198188"/>
  </r>
  <r>
    <x v="8"/>
    <x v="1"/>
    <s v="ARTES MUSICALES"/>
    <n v="25"/>
    <n v="59665.11"/>
    <n v="0.92307692307692313"/>
    <n v="0.83278455874560553"/>
  </r>
  <r>
    <x v="0"/>
    <x v="2"/>
    <s v="EDUCACION"/>
    <n v="11"/>
    <n v="25544.86"/>
    <m/>
    <m/>
  </r>
  <r>
    <x v="1"/>
    <x v="2"/>
    <s v="EDUCACION"/>
    <n v="3"/>
    <n v="6027.02"/>
    <n v="-0.72727272727272729"/>
    <n v="-0.76406134149883775"/>
  </r>
  <r>
    <x v="2"/>
    <x v="2"/>
    <s v="EDUCACION"/>
    <n v="8"/>
    <n v="9297.4"/>
    <n v="1.6666666666666667"/>
    <n v="0.54261973578982636"/>
  </r>
  <r>
    <x v="3"/>
    <x v="2"/>
    <s v="EDUCACION"/>
    <n v="16"/>
    <n v="19235.96"/>
    <n v="1"/>
    <n v="1.068961214963323"/>
  </r>
  <r>
    <x v="4"/>
    <x v="2"/>
    <s v="EDUCACION"/>
    <n v="17"/>
    <n v="19322.55"/>
    <n v="6.25E-2"/>
    <n v="4.5014649645767693E-3"/>
  </r>
  <r>
    <x v="5"/>
    <x v="2"/>
    <s v="EDUCACION"/>
    <n v="13"/>
    <n v="12904.4"/>
    <n v="-0.23529411764705882"/>
    <n v="-0.33215854015127405"/>
  </r>
  <r>
    <x v="6"/>
    <x v="2"/>
    <s v="EDUCACION"/>
    <n v="33"/>
    <n v="30589.35"/>
    <n v="1.5384615384615385"/>
    <n v="1.3704589132388951"/>
  </r>
  <r>
    <x v="7"/>
    <x v="2"/>
    <s v="EDUCACION"/>
    <n v="11"/>
    <n v="12025.68"/>
    <n v="-0.66666666666666663"/>
    <n v="-0.60686709590102439"/>
  </r>
  <r>
    <x v="8"/>
    <x v="2"/>
    <s v="EDUCACION"/>
    <n v="11"/>
    <n v="12845.76"/>
    <n v="0"/>
    <n v="6.8194064701538701E-2"/>
  </r>
  <r>
    <x v="0"/>
    <x v="2"/>
    <s v="PSICOLOGIA"/>
    <n v="131"/>
    <n v="301568.82"/>
    <m/>
    <m/>
  </r>
  <r>
    <x v="1"/>
    <x v="2"/>
    <s v="PSICOLOGIA"/>
    <n v="66"/>
    <n v="155525.89000000001"/>
    <n v="-0.49618320610687022"/>
    <n v="-0.48427728702191425"/>
  </r>
  <r>
    <x v="2"/>
    <x v="2"/>
    <s v="PSICOLOGIA"/>
    <n v="134"/>
    <n v="316079.23"/>
    <n v="1.0303030303030303"/>
    <n v="1.0323254861296725"/>
  </r>
  <r>
    <x v="3"/>
    <x v="2"/>
    <s v="PSICOLOGIA"/>
    <n v="87"/>
    <n v="197547.25"/>
    <n v="-0.35074626865671643"/>
    <n v="-0.375007177788936"/>
  </r>
  <r>
    <x v="4"/>
    <x v="2"/>
    <s v="PSICOLOGIA"/>
    <n v="197"/>
    <n v="484513.3"/>
    <n v="1.264367816091954"/>
    <n v="1.4526451266722264"/>
  </r>
  <r>
    <x v="5"/>
    <x v="2"/>
    <s v="PSICOLOGIA"/>
    <n v="129"/>
    <n v="280716.64"/>
    <n v="-0.34517766497461927"/>
    <n v="-0.42062139470681192"/>
  </r>
  <r>
    <x v="6"/>
    <x v="2"/>
    <s v="PSICOLOGIA"/>
    <n v="139"/>
    <n v="350223.07"/>
    <n v="7.7519379844961239E-2"/>
    <n v="0.24760352645999179"/>
  </r>
  <r>
    <x v="7"/>
    <x v="2"/>
    <s v="PSICOLOGIA"/>
    <n v="81"/>
    <n v="170570.77"/>
    <n v="-0.41726618705035973"/>
    <n v="-0.5129653509119203"/>
  </r>
  <r>
    <x v="8"/>
    <x v="2"/>
    <s v="PSICOLOGIA"/>
    <n v="156"/>
    <n v="363698.82"/>
    <n v="0.92592592592592593"/>
    <n v="1.1322458707315446"/>
  </r>
  <r>
    <x v="0"/>
    <x v="3"/>
    <s v="ARQUITECTURA"/>
    <n v="91"/>
    <n v="240658.23"/>
    <m/>
    <m/>
  </r>
  <r>
    <x v="1"/>
    <x v="3"/>
    <s v="ARQUITECTURA"/>
    <n v="52"/>
    <n v="142439.73000000001"/>
    <n v="-0.42857142857142855"/>
    <n v="-0.40812441776871705"/>
  </r>
  <r>
    <x v="2"/>
    <x v="3"/>
    <s v="ARQUITECTURA"/>
    <n v="117"/>
    <n v="310456.86"/>
    <n v="1.25"/>
    <n v="1.1795664734832056"/>
  </r>
  <r>
    <x v="3"/>
    <x v="3"/>
    <s v="ARQUITECTURA"/>
    <n v="55"/>
    <n v="144581.28"/>
    <n v="-0.52991452991452992"/>
    <n v="-0.53429510302977357"/>
  </r>
  <r>
    <x v="4"/>
    <x v="3"/>
    <s v="ARQUITECTURA"/>
    <n v="113"/>
    <n v="319850.32"/>
    <n v="1.0545454545454545"/>
    <n v="1.2122526512422633"/>
  </r>
  <r>
    <x v="5"/>
    <x v="3"/>
    <s v="ARQUITECTURA"/>
    <n v="58"/>
    <n v="164073.06"/>
    <n v="-0.48672566371681414"/>
    <n v="-0.4870317465994719"/>
  </r>
  <r>
    <x v="6"/>
    <x v="3"/>
    <s v="ARQUITECTURA"/>
    <n v="105"/>
    <n v="284483.82"/>
    <n v="0.81034482758620685"/>
    <n v="0.73388501439541631"/>
  </r>
  <r>
    <x v="7"/>
    <x v="3"/>
    <s v="ARQUITECTURA"/>
    <n v="38"/>
    <n v="99396.99"/>
    <n v="-0.63809523809523805"/>
    <n v="-0.65060582355790919"/>
  </r>
  <r>
    <x v="8"/>
    <x v="3"/>
    <s v="ARQUITECTURA"/>
    <n v="119"/>
    <n v="311939.09000000003"/>
    <n v="2.1315789473684212"/>
    <n v="2.1383152548180786"/>
  </r>
  <r>
    <x v="0"/>
    <x v="3"/>
    <s v="ARQUITECTURA DE INTERIORES"/>
    <n v="16"/>
    <n v="44146.45"/>
    <m/>
    <m/>
  </r>
  <r>
    <x v="1"/>
    <x v="3"/>
    <s v="ARQUITECTURA DE INTERIORES"/>
    <n v="16"/>
    <n v="46614.61"/>
    <n v="0"/>
    <n v="5.590845923058374E-2"/>
  </r>
  <r>
    <x v="2"/>
    <x v="3"/>
    <s v="ARQUITECTURA DE INTERIORES"/>
    <n v="38"/>
    <n v="110886.67"/>
    <n v="1.375"/>
    <n v="1.3787964760404516"/>
  </r>
  <r>
    <x v="3"/>
    <x v="3"/>
    <s v="ARQUITECTURA DE INTERIORES"/>
    <n v="21"/>
    <n v="61569.07"/>
    <n v="-0.44736842105263158"/>
    <n v="-0.44475679538397178"/>
  </r>
  <r>
    <x v="4"/>
    <x v="3"/>
    <s v="ARQUITECTURA DE INTERIORES"/>
    <n v="26"/>
    <n v="77728.81"/>
    <n v="0.23809523809523808"/>
    <n v="0.26246522807637013"/>
  </r>
  <r>
    <x v="5"/>
    <x v="3"/>
    <s v="ARQUITECTURA DE INTERIORES"/>
    <n v="14"/>
    <n v="37441.800000000003"/>
    <n v="-0.46153846153846156"/>
    <n v="-0.51830215849181271"/>
  </r>
  <r>
    <x v="6"/>
    <x v="3"/>
    <s v="ARQUITECTURA DE INTERIORES"/>
    <n v="40"/>
    <n v="110173.7"/>
    <n v="1.8571428571428572"/>
    <n v="1.9425321432196099"/>
  </r>
  <r>
    <x v="7"/>
    <x v="3"/>
    <s v="ARQUITECTURA DE INTERIORES"/>
    <n v="16"/>
    <n v="45111.5"/>
    <n v="-0.6"/>
    <n v="-0.59054202590999483"/>
  </r>
  <r>
    <x v="8"/>
    <x v="3"/>
    <s v="ARQUITECTURA DE INTERIORES"/>
    <n v="27"/>
    <n v="76339.25"/>
    <n v="0.6875"/>
    <n v="0.69223479600545312"/>
  </r>
  <r>
    <x v="0"/>
    <x v="3"/>
    <s v="DISEÑO DE PRODUCTOS"/>
    <n v="6"/>
    <n v="15087.34"/>
    <m/>
    <m/>
  </r>
  <r>
    <x v="1"/>
    <x v="3"/>
    <s v="DISEÑO DE PRODUCTOS"/>
    <n v="8"/>
    <n v="17496.669999999998"/>
    <n v="0.33333333333333331"/>
    <n v="0.15969216574956208"/>
  </r>
  <r>
    <x v="2"/>
    <x v="3"/>
    <s v="DISEÑO DE PRODUCTOS"/>
    <n v="10"/>
    <n v="28415.99"/>
    <n v="0.25"/>
    <n v="0.6240798963459907"/>
  </r>
  <r>
    <x v="3"/>
    <x v="3"/>
    <s v="DISEÑO DE PRODUCTOS"/>
    <n v="11"/>
    <n v="29747.5"/>
    <n v="0.1"/>
    <n v="4.6857772683619271E-2"/>
  </r>
  <r>
    <x v="4"/>
    <x v="3"/>
    <s v="DISEÑO DE PRODUCTOS"/>
    <n v="10"/>
    <n v="27448"/>
    <n v="-9.0909090909090912E-2"/>
    <n v="-7.7300613496932513E-2"/>
  </r>
  <r>
    <x v="5"/>
    <x v="3"/>
    <s v="DISEÑO DE PRODUCTOS"/>
    <n v="7"/>
    <n v="19412.5"/>
    <n v="-0.3"/>
    <n v="-0.2927535703876421"/>
  </r>
  <r>
    <x v="6"/>
    <x v="3"/>
    <s v="DISEÑO DE PRODUCTOS"/>
    <n v="1"/>
    <n v="2379"/>
    <n v="-0.8571428571428571"/>
    <n v="-0.87745009658725048"/>
  </r>
  <r>
    <x v="7"/>
    <x v="3"/>
    <s v="DISEÑO DE PRODUCTOS"/>
    <n v="1"/>
    <n v="2649.37"/>
    <n v="0"/>
    <n v="0.1136485918453131"/>
  </r>
  <r>
    <x v="8"/>
    <x v="3"/>
    <s v="DISEÑO DE PRODUCTOS"/>
    <n v="9"/>
    <n v="24980.41"/>
    <n v="8"/>
    <n v="8.428811377799251"/>
  </r>
  <r>
    <x v="0"/>
    <x v="4"/>
    <s v="ADMINISTRACION DE EMPRESAS"/>
    <n v="64"/>
    <n v="166432.84"/>
    <m/>
    <m/>
  </r>
  <r>
    <x v="1"/>
    <x v="4"/>
    <s v="ADMINISTRACION DE EMPRESAS"/>
    <n v="30"/>
    <n v="72210.070000000007"/>
    <n v="-0.53125"/>
    <n v="-0.56613087897797087"/>
  </r>
  <r>
    <x v="2"/>
    <x v="4"/>
    <s v="ADMINISTRACION DE EMPRESAS"/>
    <n v="57"/>
    <n v="142097.48000000001"/>
    <n v="0.9"/>
    <n v="0.96783468012148444"/>
  </r>
  <r>
    <x v="3"/>
    <x v="4"/>
    <s v="ADMINISTRACION DE EMPRESAS"/>
    <n v="42"/>
    <n v="104077.94"/>
    <n v="-0.26315789473684209"/>
    <n v="-0.26755956544760684"/>
  </r>
  <r>
    <x v="4"/>
    <x v="4"/>
    <s v="ADMINISTRACION DE EMPRESAS"/>
    <n v="65"/>
    <n v="167534.43"/>
    <n v="0.54761904761904767"/>
    <n v="0.60970163321833604"/>
  </r>
  <r>
    <x v="5"/>
    <x v="4"/>
    <s v="ADMINISTRACION DE EMPRESAS"/>
    <n v="37"/>
    <n v="92254.56"/>
    <n v="-0.43076923076923079"/>
    <n v="-0.44933969692080605"/>
  </r>
  <r>
    <x v="6"/>
    <x v="4"/>
    <s v="ADMINISTRACION DE EMPRESAS"/>
    <n v="49"/>
    <n v="124108.42"/>
    <n v="0.32432432432432434"/>
    <n v="0.34528222778364559"/>
  </r>
  <r>
    <x v="7"/>
    <x v="4"/>
    <s v="ADMINISTRACION DE EMPRESAS"/>
    <n v="24"/>
    <n v="53203.19"/>
    <n v="-0.51020408163265307"/>
    <n v="-0.57131683732658911"/>
  </r>
  <r>
    <x v="8"/>
    <x v="4"/>
    <s v="ADMINISTRACIÓN DE EMPRESAS"/>
    <n v="69"/>
    <n v="166233.38"/>
    <n v="1.875"/>
    <n v="2.1245002414328913"/>
  </r>
  <r>
    <x v="8"/>
    <x v="4"/>
    <s v="CONTABILIDAD Y AUDITORÍA"/>
    <n v="8"/>
    <n v="20662.48"/>
    <m/>
    <m/>
  </r>
  <r>
    <x v="0"/>
    <x v="4"/>
    <s v="ECONOMIA"/>
    <n v="12"/>
    <n v="23133.97"/>
    <m/>
    <m/>
  </r>
  <r>
    <x v="1"/>
    <x v="4"/>
    <s v="ECONOMIA"/>
    <n v="11"/>
    <n v="24021.23"/>
    <n v="-8.3333333333333329E-2"/>
    <n v="3.8353123134507325E-2"/>
  </r>
  <r>
    <x v="2"/>
    <x v="4"/>
    <s v="ECONOMIA"/>
    <n v="20"/>
    <n v="44230.84"/>
    <n v="0.81818181818181823"/>
    <n v="0.84132286315063787"/>
  </r>
  <r>
    <x v="3"/>
    <x v="4"/>
    <s v="ECONOMIA"/>
    <n v="11"/>
    <n v="25122.240000000002"/>
    <n v="-0.45"/>
    <n v="-0.43201983050740156"/>
  </r>
  <r>
    <x v="4"/>
    <x v="4"/>
    <s v="ECONOMIA"/>
    <n v="21"/>
    <n v="48663.16"/>
    <n v="0.90909090909090906"/>
    <n v="0.93705497598940224"/>
  </r>
  <r>
    <x v="5"/>
    <x v="4"/>
    <s v="ECONOMIA"/>
    <n v="16"/>
    <n v="39900.120000000003"/>
    <n v="-0.23809523809523808"/>
    <n v="-0.18007544105232789"/>
  </r>
  <r>
    <x v="6"/>
    <x v="4"/>
    <s v="ECONOMIA"/>
    <n v="25"/>
    <n v="56982.3"/>
    <n v="0.5625"/>
    <n v="0.42812352444052798"/>
  </r>
  <r>
    <x v="7"/>
    <x v="4"/>
    <s v="ECONOMIA"/>
    <n v="10"/>
    <n v="21520.44"/>
    <n v="-0.6"/>
    <n v="-0.62233114493447961"/>
  </r>
  <r>
    <x v="8"/>
    <x v="4"/>
    <s v="ECONOMIA"/>
    <n v="16"/>
    <n v="36242.07"/>
    <n v="0.6"/>
    <n v="0.68407662668607161"/>
  </r>
  <r>
    <x v="0"/>
    <x v="4"/>
    <s v="FINANZAS"/>
    <n v="19"/>
    <n v="48822.27"/>
    <m/>
    <m/>
  </r>
  <r>
    <x v="1"/>
    <x v="4"/>
    <s v="FINANZAS"/>
    <n v="15"/>
    <n v="38413.589999999997"/>
    <n v="-0.21052631578947367"/>
    <n v="-0.21319533073738686"/>
  </r>
  <r>
    <x v="2"/>
    <x v="4"/>
    <s v="FINANZAS"/>
    <n v="26"/>
    <n v="65917.61"/>
    <n v="0.73333333333333328"/>
    <n v="0.71599712497582257"/>
  </r>
  <r>
    <x v="3"/>
    <x v="4"/>
    <s v="FINANZAS"/>
    <n v="20"/>
    <n v="50676.2"/>
    <n v="-0.23076923076923078"/>
    <n v="-0.23121909304660779"/>
  </r>
  <r>
    <x v="4"/>
    <x v="4"/>
    <s v="FINANZAS"/>
    <n v="30"/>
    <n v="78829.14"/>
    <n v="0.5"/>
    <n v="0.55554560128817876"/>
  </r>
  <r>
    <x v="5"/>
    <x v="4"/>
    <s v="FINANZAS"/>
    <n v="11"/>
    <n v="30085.47"/>
    <n v="-0.6333333333333333"/>
    <n v="-0.61834582998114651"/>
  </r>
  <r>
    <x v="6"/>
    <x v="4"/>
    <s v="FINANZAS"/>
    <n v="39"/>
    <n v="98180.81"/>
    <n v="2.5454545454545454"/>
    <n v="2.2633962507482845"/>
  </r>
  <r>
    <x v="7"/>
    <x v="4"/>
    <s v="FINANZAS"/>
    <n v="8"/>
    <n v="18109.86"/>
    <n v="-0.79487179487179482"/>
    <n v="-0.81554582815114274"/>
  </r>
  <r>
    <x v="8"/>
    <x v="4"/>
    <s v="FINANZAS"/>
    <n v="32"/>
    <n v="84443.66"/>
    <n v="3"/>
    <n v="3.6628554831456457"/>
  </r>
  <r>
    <x v="0"/>
    <x v="4"/>
    <s v="MARKETING"/>
    <n v="36"/>
    <n v="86444.09"/>
    <m/>
    <m/>
  </r>
  <r>
    <x v="1"/>
    <x v="4"/>
    <s v="MARKETING"/>
    <n v="23"/>
    <n v="51082.64"/>
    <n v="-0.3611111111111111"/>
    <n v="-0.40906729424764604"/>
  </r>
  <r>
    <x v="2"/>
    <x v="4"/>
    <s v="MARKETING"/>
    <n v="64"/>
    <n v="152382.75"/>
    <n v="1.7826086956521738"/>
    <n v="1.9830633264059963"/>
  </r>
  <r>
    <x v="3"/>
    <x v="4"/>
    <s v="MARKETING"/>
    <n v="51"/>
    <n v="115033.04"/>
    <n v="-0.203125"/>
    <n v="-0.24510458040690306"/>
  </r>
  <r>
    <x v="4"/>
    <x v="4"/>
    <s v="MARKETING"/>
    <n v="68"/>
    <n v="172973.34"/>
    <n v="0.33333333333333331"/>
    <n v="0.50368398505333778"/>
  </r>
  <r>
    <x v="5"/>
    <x v="4"/>
    <s v="MARKETING"/>
    <n v="55"/>
    <n v="108337.72"/>
    <n v="-0.19117647058823528"/>
    <n v="-0.37367388523572476"/>
  </r>
  <r>
    <x v="6"/>
    <x v="4"/>
    <s v="MARKETING"/>
    <n v="88"/>
    <n v="198327.57"/>
    <n v="0.6"/>
    <n v="0.83064190385398551"/>
  </r>
  <r>
    <x v="7"/>
    <x v="4"/>
    <s v="MARKETING"/>
    <n v="44"/>
    <n v="94447.41"/>
    <n v="-0.5"/>
    <n v="-0.52378073305693207"/>
  </r>
  <r>
    <x v="8"/>
    <x v="4"/>
    <s v="MARKETING"/>
    <n v="71"/>
    <n v="159130.68"/>
    <n v="0.61363636363636365"/>
    <n v="0.68486017774335994"/>
  </r>
  <r>
    <x v="0"/>
    <x v="4"/>
    <s v="NEGOCIOS DEPORTIVOS"/>
    <n v="19"/>
    <n v="57758.52"/>
    <m/>
    <m/>
  </r>
  <r>
    <x v="1"/>
    <x v="4"/>
    <s v="NEGOCIOS DEPORTIVOS"/>
    <n v="5"/>
    <n v="15149.8"/>
    <n v="-0.73684210526315785"/>
    <n v="-0.73770449796843829"/>
  </r>
  <r>
    <x v="2"/>
    <x v="4"/>
    <s v="NEGOCIOS DEPORTIVOS"/>
    <n v="13"/>
    <n v="36410.9"/>
    <n v="1.6"/>
    <n v="1.4033914639137153"/>
  </r>
  <r>
    <x v="3"/>
    <x v="4"/>
    <s v="NEGOCIOS DEPORTIVOS"/>
    <n v="8"/>
    <n v="21588.65"/>
    <n v="-0.38461538461538464"/>
    <n v="-0.4070827691707703"/>
  </r>
  <r>
    <x v="4"/>
    <x v="4"/>
    <s v="NEGOCIOS DEPORTIVOS"/>
    <n v="16"/>
    <n v="50972.14"/>
    <n v="1"/>
    <n v="1.3610619469026546"/>
  </r>
  <r>
    <x v="5"/>
    <x v="4"/>
    <s v="NEGOCIOS DEPORTIVOS"/>
    <n v="7"/>
    <n v="21223.74"/>
    <n v="-0.5625"/>
    <n v="-0.58362077793869349"/>
  </r>
  <r>
    <x v="6"/>
    <x v="4"/>
    <s v="NEGOCIOS DEPORTIVOS"/>
    <n v="24"/>
    <n v="70806.570000000007"/>
    <n v="2.4285714285714284"/>
    <n v="2.3361966364080975"/>
  </r>
  <r>
    <x v="7"/>
    <x v="4"/>
    <s v="NEGOCIOS DEPORTIVOS"/>
    <n v="10"/>
    <n v="27465.489999999998"/>
    <n v="-0.58333333333333337"/>
    <n v="-0.61210534559151797"/>
  </r>
  <r>
    <x v="8"/>
    <x v="4"/>
    <s v="NEGOCIOS DEPORTIVOS"/>
    <n v="13"/>
    <n v="38384.5"/>
    <n v="0.3"/>
    <n v="0.39755380297238474"/>
  </r>
  <r>
    <x v="2"/>
    <x v="4"/>
    <s v="NEGOCIOS DIGITALES"/>
    <n v="2"/>
    <n v="5489.9"/>
    <m/>
    <m/>
  </r>
  <r>
    <x v="3"/>
    <x v="4"/>
    <s v="NEGOCIOS DIGITALES"/>
    <n v="13"/>
    <n v="32221.07"/>
    <n v="5.5"/>
    <n v="4.8691542651050108"/>
  </r>
  <r>
    <x v="4"/>
    <x v="4"/>
    <s v="NEGOCIOS DIGITALES"/>
    <n v="36"/>
    <n v="93999.27"/>
    <n v="1.7692307692307692"/>
    <n v="1.917323043586076"/>
  </r>
  <r>
    <x v="5"/>
    <x v="4"/>
    <s v="NEGOCIOS DIGITALES"/>
    <n v="12"/>
    <n v="31183.22"/>
    <n v="-0.66666666666666663"/>
    <n v="-0.66826104075063564"/>
  </r>
  <r>
    <x v="6"/>
    <x v="4"/>
    <s v="NEGOCIOS DIGITALES"/>
    <n v="31"/>
    <n v="79278.75"/>
    <n v="1.5833333333333333"/>
    <n v="1.5423529064670036"/>
  </r>
  <r>
    <x v="7"/>
    <x v="4"/>
    <s v="NEGOCIOS DIGITALES"/>
    <n v="14"/>
    <n v="33083.81"/>
    <n v="-0.54838709677419351"/>
    <n v="-0.58269006511833255"/>
  </r>
  <r>
    <x v="8"/>
    <x v="4"/>
    <s v="NEGOCIOS DIGITALES"/>
    <n v="34"/>
    <n v="89100.5"/>
    <n v="1.4285714285714286"/>
    <n v="1.6931753023608831"/>
  </r>
  <r>
    <x v="0"/>
    <x v="4"/>
    <s v="NEGOCIOS INTERNACIONALES"/>
    <n v="128"/>
    <n v="323756.26"/>
    <m/>
    <m/>
  </r>
  <r>
    <x v="1"/>
    <x v="4"/>
    <s v="NEGOCIOS INTERNACIONALES"/>
    <n v="56"/>
    <n v="140763.94"/>
    <n v="-0.5625"/>
    <n v="-0.5652163142729657"/>
  </r>
  <r>
    <x v="2"/>
    <x v="4"/>
    <s v="NEGOCIOS INTERNACIONALES"/>
    <n v="134"/>
    <n v="326098.51"/>
    <n v="1.3928571428571428"/>
    <n v="1.3166338623371867"/>
  </r>
  <r>
    <x v="3"/>
    <x v="4"/>
    <s v="NEGOCIOS INTERNACIONALES"/>
    <n v="83"/>
    <n v="182190.68"/>
    <n v="-0.38059701492537312"/>
    <n v="-0.44130170971955685"/>
  </r>
  <r>
    <x v="4"/>
    <x v="4"/>
    <s v="NEGOCIOS INTERNACIONALES"/>
    <n v="150"/>
    <n v="372907.82"/>
    <n v="0.80722891566265065"/>
    <n v="1.046799649685703"/>
  </r>
  <r>
    <x v="5"/>
    <x v="4"/>
    <s v="NEGOCIOS INTERNACIONALES"/>
    <n v="133"/>
    <n v="298938.2"/>
    <n v="-0.11333333333333333"/>
    <n v="-0.19835899391973061"/>
  </r>
  <r>
    <x v="6"/>
    <x v="4"/>
    <s v="NEGOCIOS INTERNACIONALES"/>
    <n v="200"/>
    <n v="478789.36"/>
    <n v="0.50375939849624063"/>
    <n v="0.60163324727318213"/>
  </r>
  <r>
    <x v="7"/>
    <x v="4"/>
    <s v="NEGOCIOS INTERNACIONALES"/>
    <n v="107"/>
    <n v="233755.89"/>
    <n v="-0.46500000000000002"/>
    <n v="-0.51177718318552434"/>
  </r>
  <r>
    <x v="8"/>
    <x v="4"/>
    <s v="NEGOCIOS INTERNACIONALES"/>
    <n v="190"/>
    <n v="468817.71"/>
    <n v="0.77570093457943923"/>
    <n v="1.0055867255366271"/>
  </r>
  <r>
    <x v="0"/>
    <x v="4"/>
    <s v="TURISMO Y HOTELERÍA"/>
    <n v="24"/>
    <n v="48341.89"/>
    <m/>
    <m/>
  </r>
  <r>
    <x v="1"/>
    <x v="4"/>
    <s v="TURISMO Y HOTELERÍA"/>
    <n v="8"/>
    <n v="18206.25"/>
    <n v="-0.66666666666666663"/>
    <n v="-0.62338563924579693"/>
  </r>
  <r>
    <x v="2"/>
    <x v="4"/>
    <s v="TURISMO Y HOTELERÍA"/>
    <n v="15"/>
    <n v="37709.85"/>
    <n v="0.875"/>
    <n v="1.0712584963954686"/>
  </r>
  <r>
    <x v="3"/>
    <x v="4"/>
    <s v="TURISMO Y HOTELERÍA"/>
    <n v="4"/>
    <n v="6852.03"/>
    <n v="-0.73333333333333328"/>
    <n v="-0.81829601549727726"/>
  </r>
  <r>
    <x v="4"/>
    <x v="4"/>
    <s v="TURISMO Y HOTELERÍA"/>
    <n v="8"/>
    <n v="19962.8"/>
    <n v="1"/>
    <n v="1.9134139809662247"/>
  </r>
  <r>
    <x v="5"/>
    <x v="4"/>
    <s v="TURISMO Y HOTELERÍA"/>
    <n v="14"/>
    <n v="29408.77"/>
    <n v="0.75"/>
    <n v="0.47317861221872692"/>
  </r>
  <r>
    <x v="6"/>
    <x v="4"/>
    <s v="TURISMO Y HOTELERÍA"/>
    <n v="14"/>
    <n v="35840"/>
    <n v="0"/>
    <n v="0.21868408641367862"/>
  </r>
  <r>
    <x v="7"/>
    <x v="4"/>
    <s v="TURISMO Y HOTELERÍA"/>
    <n v="12"/>
    <n v="32256.5"/>
    <n v="-0.14285714285714285"/>
    <n v="-9.9986049107142858E-2"/>
  </r>
  <r>
    <x v="8"/>
    <x v="4"/>
    <s v="TURISMO Y HOTELERÍA"/>
    <n v="20"/>
    <n v="52785"/>
    <n v="0.66666666666666663"/>
    <n v="0.63641436609675572"/>
  </r>
  <r>
    <x v="0"/>
    <x v="5"/>
    <s v="RELACIONES INTERNACIONALES"/>
    <n v="46"/>
    <n v="120041.38"/>
    <m/>
    <m/>
  </r>
  <r>
    <x v="1"/>
    <x v="5"/>
    <s v="RELACIONES INTERNACIONALES"/>
    <n v="13"/>
    <n v="34886.19"/>
    <n v="-0.71739130434782605"/>
    <n v="-0.70938196478580973"/>
  </r>
  <r>
    <x v="2"/>
    <x v="5"/>
    <s v="RELACIONES INTERNACIONALES"/>
    <n v="35"/>
    <n v="89429.04"/>
    <n v="1.6923076923076923"/>
    <n v="1.5634510389354639"/>
  </r>
  <r>
    <x v="3"/>
    <x v="5"/>
    <s v="RELACIONES INTERNACIONALES"/>
    <n v="13"/>
    <n v="33362.239999999998"/>
    <n v="-0.62857142857142856"/>
    <n v="-0.62694176298884563"/>
  </r>
  <r>
    <x v="4"/>
    <x v="5"/>
    <s v="RELACIONES INTERNACIONALES"/>
    <n v="38"/>
    <n v="91756.79"/>
    <n v="1.9230769230769231"/>
    <n v="1.7503186236895365"/>
  </r>
  <r>
    <x v="5"/>
    <x v="5"/>
    <s v="RELACIONES INTERNACIONALES"/>
    <n v="16"/>
    <n v="41035.25"/>
    <n v="-0.57894736842105265"/>
    <n v="-0.55278241533950778"/>
  </r>
  <r>
    <x v="6"/>
    <x v="5"/>
    <s v="RELACIONES INTERNACIONALES"/>
    <n v="37"/>
    <n v="97983.239999999991"/>
    <n v="1.3125"/>
    <n v="1.3877822116351184"/>
  </r>
  <r>
    <x v="7"/>
    <x v="5"/>
    <s v="RELACIONES INTERNACIONALES"/>
    <n v="24"/>
    <n v="65481.54"/>
    <n v="-0.35135135135135137"/>
    <n v="-0.33170672862011902"/>
  </r>
  <r>
    <x v="8"/>
    <x v="5"/>
    <s v="RELACIONES INTERNACIONALES"/>
    <n v="45"/>
    <n v="119973.45999999999"/>
    <n v="0.875"/>
    <n v="0.83217224274200008"/>
  </r>
  <r>
    <x v="0"/>
    <x v="6"/>
    <s v="CINE"/>
    <n v="10"/>
    <n v="24501.1"/>
    <m/>
    <m/>
  </r>
  <r>
    <x v="1"/>
    <x v="6"/>
    <s v="CINE"/>
    <n v="4"/>
    <n v="12660.69"/>
    <n v="-0.6"/>
    <n v="-0.48326034341315283"/>
  </r>
  <r>
    <x v="2"/>
    <x v="6"/>
    <s v="CINE"/>
    <n v="7"/>
    <n v="19410.68"/>
    <n v="0.75"/>
    <n v="0.53314550786726467"/>
  </r>
  <r>
    <x v="3"/>
    <x v="6"/>
    <s v="CINE"/>
    <n v="5"/>
    <n v="8246.9599999999991"/>
    <n v="-0.2857142857142857"/>
    <n v="-0.57513286500009275"/>
  </r>
  <r>
    <x v="4"/>
    <x v="6"/>
    <s v="CINE"/>
    <n v="14"/>
    <n v="40540.800000000003"/>
    <n v="1.8"/>
    <n v="3.9158477790604063"/>
  </r>
  <r>
    <x v="5"/>
    <x v="6"/>
    <s v="CINE"/>
    <n v="5"/>
    <n v="12642.3"/>
    <n v="-0.6428571428571429"/>
    <n v="-0.68815859578498706"/>
  </r>
  <r>
    <x v="6"/>
    <x v="6"/>
    <s v="CINE"/>
    <n v="22"/>
    <n v="60192.13"/>
    <n v="3.4"/>
    <n v="3.7611692492663522"/>
  </r>
  <r>
    <x v="7"/>
    <x v="6"/>
    <s v="CINE"/>
    <n v="10"/>
    <n v="25782.65"/>
    <n v="-0.54545454545454541"/>
    <n v="-0.57166078023821387"/>
  </r>
  <r>
    <x v="8"/>
    <x v="6"/>
    <s v="CINE"/>
    <n v="12"/>
    <n v="32032"/>
    <n v="0.2"/>
    <n v="0.24238586801589435"/>
  </r>
  <r>
    <x v="0"/>
    <x v="6"/>
    <s v="COMUNICACION"/>
    <n v="18"/>
    <n v="43619.63"/>
    <m/>
    <m/>
  </r>
  <r>
    <x v="1"/>
    <x v="6"/>
    <s v="COMUNICACION"/>
    <n v="8"/>
    <n v="19531.02"/>
    <n v="-0.55555555555555558"/>
    <n v="-0.55224241929608298"/>
  </r>
  <r>
    <x v="2"/>
    <x v="6"/>
    <s v="COMUNICACION"/>
    <n v="22"/>
    <n v="53487.97"/>
    <n v="1.75"/>
    <n v="1.7386163139457129"/>
  </r>
  <r>
    <x v="3"/>
    <x v="6"/>
    <s v="COMUNICACION"/>
    <n v="12"/>
    <n v="31869.27"/>
    <n v="-0.45454545454545453"/>
    <n v="-0.40417873402187443"/>
  </r>
  <r>
    <x v="4"/>
    <x v="6"/>
    <s v="COMUNICACION"/>
    <n v="17"/>
    <n v="40844.32"/>
    <n v="0.41666666666666669"/>
    <n v="0.28162082156258988"/>
  </r>
  <r>
    <x v="5"/>
    <x v="6"/>
    <s v="COMUNICACION"/>
    <n v="7"/>
    <n v="16578.89"/>
    <n v="-0.58823529411764708"/>
    <n v="-0.59409558048707878"/>
  </r>
  <r>
    <x v="6"/>
    <x v="6"/>
    <s v="COMUNICACION"/>
    <n v="27"/>
    <n v="57892.79"/>
    <n v="2.8571428571428572"/>
    <n v="2.4919581467758096"/>
  </r>
  <r>
    <x v="7"/>
    <x v="6"/>
    <s v="COMUNICACION"/>
    <n v="20"/>
    <n v="49078.39"/>
    <n v="-0.25925925925925924"/>
    <n v="-0.15225384715436932"/>
  </r>
  <r>
    <x v="8"/>
    <x v="6"/>
    <s v="COMUNICACION"/>
    <n v="17"/>
    <n v="42842.85"/>
    <n v="-0.15"/>
    <n v="-0.12705266004039661"/>
  </r>
  <r>
    <x v="0"/>
    <x v="6"/>
    <s v="DISEÑO GRAFICO Y COMUNICACION VISUAL"/>
    <n v="24"/>
    <n v="66927.789999999994"/>
    <m/>
    <m/>
  </r>
  <r>
    <x v="1"/>
    <x v="6"/>
    <s v="DISEÑO GRAFICO Y COMUNICACION VISUAL"/>
    <n v="14"/>
    <n v="37175.57"/>
    <n v="-0.41666666666666669"/>
    <n v="-0.44454209529404748"/>
  </r>
  <r>
    <x v="2"/>
    <x v="6"/>
    <s v="DISEÑO GRAFICO Y COMUNICACION VISUAL"/>
    <n v="29"/>
    <n v="79325.25"/>
    <n v="1.0714285714285714"/>
    <n v="1.1338005039330936"/>
  </r>
  <r>
    <x v="3"/>
    <x v="6"/>
    <s v="DISEÑO GRAFICO Y COMUNICACION VISUAL"/>
    <n v="24"/>
    <n v="67366.17"/>
    <n v="-0.17241379310344829"/>
    <n v="-0.15076006693959365"/>
  </r>
  <r>
    <x v="4"/>
    <x v="6"/>
    <s v="DISEÑO GRAFICO Y COMUNICACION VISUAL"/>
    <n v="46"/>
    <n v="131897.95000000001"/>
    <n v="0.91666666666666663"/>
    <n v="0.95792561756145578"/>
  </r>
  <r>
    <x v="5"/>
    <x v="6"/>
    <s v="DISEÑO GRAFICO Y COMUNICACION VISUAL"/>
    <n v="13"/>
    <n v="31000.799999999999"/>
    <n v="-0.71739130434782605"/>
    <n v="-0.76496374659348387"/>
  </r>
  <r>
    <x v="6"/>
    <x v="6"/>
    <s v="DISEÑO GRAFICO Y COMUNICACION VISUAL"/>
    <n v="42"/>
    <n v="117858.22"/>
    <n v="2.2307692307692308"/>
    <n v="2.8017799540657014"/>
  </r>
  <r>
    <x v="7"/>
    <x v="6"/>
    <s v="DISEÑO GRAFICO Y COMUNICACION VISUAL"/>
    <n v="13"/>
    <n v="40001.800000000003"/>
    <n v="-0.69047619047619047"/>
    <n v="-0.66059388984493406"/>
  </r>
  <r>
    <x v="8"/>
    <x v="6"/>
    <s v="DISEÑO GRAFICO Y COMUNICACION VISUAL"/>
    <n v="30"/>
    <n v="75714.98"/>
    <n v="1.3076923076923077"/>
    <n v="0.89278932448039816"/>
  </r>
  <r>
    <x v="0"/>
    <x v="6"/>
    <s v="MULTIMEDIA Y PRODUCCION AUDIOVISUAL"/>
    <n v="73"/>
    <n v="192148.57"/>
    <m/>
    <m/>
  </r>
  <r>
    <x v="1"/>
    <x v="6"/>
    <s v="MULTIMEDIA Y PRODUCCION AUDIOVISUAL"/>
    <n v="40"/>
    <n v="103429.16"/>
    <n v="-0.45205479452054792"/>
    <n v="-0.46172297821420166"/>
  </r>
  <r>
    <x v="2"/>
    <x v="6"/>
    <s v="MULTIMEDIA Y PRODUCCION AUDIOVISUAL"/>
    <n v="85"/>
    <n v="211262.39"/>
    <n v="1.125"/>
    <n v="1.0425805449836392"/>
  </r>
  <r>
    <x v="3"/>
    <x v="6"/>
    <s v="MULTIMEDIA Y PRODUCCION AUDIOVISUAL"/>
    <n v="43"/>
    <n v="104490.04"/>
    <n v="-0.49411764705882355"/>
    <n v="-0.50540160035110848"/>
  </r>
  <r>
    <x v="4"/>
    <x v="6"/>
    <s v="MULTIMEDIA Y PRODUCCION AUDIOVISUAL"/>
    <n v="90"/>
    <n v="237940.28"/>
    <n v="1.0930232558139534"/>
    <n v="1.2771575166398634"/>
  </r>
  <r>
    <x v="5"/>
    <x v="6"/>
    <s v="MULTIMEDIA Y PRODUCCION AUDIOVISUAL"/>
    <n v="36"/>
    <n v="95904.27"/>
    <n v="-0.6"/>
    <n v="-0.59693974471241273"/>
  </r>
  <r>
    <x v="6"/>
    <x v="6"/>
    <s v="MULTIMEDIA Y PRODUCCION AUDIOVISUAL"/>
    <n v="47"/>
    <n v="122948.38"/>
    <n v="0.30555555555555558"/>
    <n v="0.28199067674463296"/>
  </r>
  <r>
    <x v="7"/>
    <x v="6"/>
    <s v="MULTIMEDIA Y PRODUCCION AUDIOVISUAL"/>
    <n v="24"/>
    <n v="62310.36"/>
    <n v="-0.48936170212765956"/>
    <n v="-0.49319901571700253"/>
  </r>
  <r>
    <x v="8"/>
    <x v="6"/>
    <s v="MULTIMEDIA Y PRODUCCION AUDIOVISUAL"/>
    <n v="79"/>
    <n v="200650.97"/>
    <n v="2.2916666666666665"/>
    <n v="2.2201863381948042"/>
  </r>
  <r>
    <x v="0"/>
    <x v="6"/>
    <s v="PERIODISMO"/>
    <n v="20"/>
    <n v="45589.440000000002"/>
    <m/>
    <m/>
  </r>
  <r>
    <x v="1"/>
    <x v="6"/>
    <s v="PERIODISMO"/>
    <n v="10"/>
    <n v="23319.54"/>
    <n v="-0.5"/>
    <n v="-0.48848812356545729"/>
  </r>
  <r>
    <x v="2"/>
    <x v="6"/>
    <s v="PERIODISMO"/>
    <n v="23"/>
    <n v="55583.14"/>
    <n v="1.3"/>
    <n v="1.3835435861942387"/>
  </r>
  <r>
    <x v="3"/>
    <x v="6"/>
    <s v="PERIODISMO"/>
    <n v="14"/>
    <n v="33494.79"/>
    <n v="-0.39130434782608697"/>
    <n v="-0.39739298643437559"/>
  </r>
  <r>
    <x v="4"/>
    <x v="6"/>
    <s v="PERIODISMO"/>
    <n v="21"/>
    <n v="51148.83"/>
    <n v="0.5"/>
    <n v="0.52706823956800442"/>
  </r>
  <r>
    <x v="5"/>
    <x v="6"/>
    <s v="PERIODISMO"/>
    <n v="6"/>
    <n v="14645.11"/>
    <n v="-0.7142857142857143"/>
    <n v="-0.71367653961977229"/>
  </r>
  <r>
    <x v="6"/>
    <x v="6"/>
    <s v="PERIODISMO"/>
    <n v="19"/>
    <n v="44773.120000000003"/>
    <n v="2.1666666666666665"/>
    <n v="2.0572061254575762"/>
  </r>
  <r>
    <x v="7"/>
    <x v="6"/>
    <s v="PERIODISMO"/>
    <n v="6"/>
    <n v="13082.02"/>
    <n v="-0.68421052631578949"/>
    <n v="-0.70781531418851307"/>
  </r>
  <r>
    <x v="8"/>
    <x v="6"/>
    <s v="PERIODISMO"/>
    <n v="12"/>
    <n v="28283.33"/>
    <n v="1"/>
    <n v="1.1620002109765923"/>
  </r>
  <r>
    <x v="0"/>
    <x v="6"/>
    <s v="PUBLICIDAD"/>
    <n v="18"/>
    <n v="53763.48"/>
    <m/>
    <m/>
  </r>
  <r>
    <x v="1"/>
    <x v="6"/>
    <s v="PUBLICIDAD"/>
    <n v="11"/>
    <n v="29397.43"/>
    <n v="-0.3888888888888889"/>
    <n v="-0.45320820006443036"/>
  </r>
  <r>
    <x v="2"/>
    <x v="6"/>
    <s v="PUBLICIDAD"/>
    <n v="12"/>
    <n v="30409.49"/>
    <n v="9.0909090909090912E-2"/>
    <n v="3.4426818943016489E-2"/>
  </r>
  <r>
    <x v="3"/>
    <x v="6"/>
    <s v="PUBLICIDAD"/>
    <n v="7"/>
    <n v="16110.54"/>
    <n v="-0.41666666666666669"/>
    <n v="-0.47021341035314962"/>
  </r>
  <r>
    <x v="4"/>
    <x v="6"/>
    <s v="PUBLICIDAD"/>
    <n v="18"/>
    <n v="49152.53"/>
    <n v="1.5714285714285714"/>
    <n v="2.0509548407440095"/>
  </r>
  <r>
    <x v="5"/>
    <x v="6"/>
    <s v="PUBLICIDAD"/>
    <n v="13"/>
    <n v="34280.33"/>
    <n v="-0.27777777777777779"/>
    <n v="-0.30257242099236797"/>
  </r>
  <r>
    <x v="6"/>
    <x v="6"/>
    <s v="PUBLICIDAD"/>
    <n v="25"/>
    <n v="66963.289999999994"/>
    <n v="0.92307692307692313"/>
    <n v="0.95340272395277381"/>
  </r>
  <r>
    <x v="7"/>
    <x v="6"/>
    <s v="PUBLICIDAD"/>
    <n v="9"/>
    <n v="20509.3"/>
    <n v="-0.64"/>
    <n v="-0.69372323253531887"/>
  </r>
  <r>
    <x v="8"/>
    <x v="6"/>
    <s v="PUBLICIDAD"/>
    <n v="23"/>
    <n v="60883.6"/>
    <n v="1.5555555555555556"/>
    <n v="1.9685849833977758"/>
  </r>
  <r>
    <x v="0"/>
    <x v="7"/>
    <s v="DERECHO"/>
    <n v="151"/>
    <n v="374073.26"/>
    <m/>
    <m/>
  </r>
  <r>
    <x v="1"/>
    <x v="7"/>
    <s v="DERECHO"/>
    <n v="80"/>
    <n v="208430.18"/>
    <n v="-0.47019867549668876"/>
    <n v="-0.44280919732140173"/>
  </r>
  <r>
    <x v="2"/>
    <x v="7"/>
    <s v="DERECHO"/>
    <n v="132"/>
    <n v="329798.68"/>
    <n v="0.65"/>
    <n v="0.58229811057112746"/>
  </r>
  <r>
    <x v="3"/>
    <x v="7"/>
    <s v="DERECHO"/>
    <n v="91"/>
    <n v="213216.36"/>
    <n v="-0.31060606060606061"/>
    <n v="-0.35349541120055428"/>
  </r>
  <r>
    <x v="4"/>
    <x v="7"/>
    <s v="DERECHO"/>
    <n v="146"/>
    <n v="375950.48"/>
    <n v="0.60439560439560436"/>
    <n v="0.76323467861471794"/>
  </r>
  <r>
    <x v="5"/>
    <x v="7"/>
    <s v="DERECHO"/>
    <n v="94"/>
    <n v="209965.25"/>
    <n v="-0.35616438356164382"/>
    <n v="-0.44150822736015655"/>
  </r>
  <r>
    <x v="6"/>
    <x v="7"/>
    <s v="DERECHO"/>
    <n v="165"/>
    <n v="372315.8"/>
    <n v="0.75531914893617025"/>
    <n v="0.77322580760387727"/>
  </r>
  <r>
    <x v="7"/>
    <x v="7"/>
    <s v="DERECHO"/>
    <n v="92"/>
    <n v="189505.69"/>
    <n v="-0.44242424242424244"/>
    <n v="-0.49100819787932715"/>
  </r>
  <r>
    <x v="8"/>
    <x v="7"/>
    <s v="DERECHO"/>
    <n v="125"/>
    <n v="299433.26"/>
    <n v="0.35869565217391303"/>
    <n v="0.58007530011368003"/>
  </r>
  <r>
    <x v="0"/>
    <x v="8"/>
    <s v="AGROINDUSTRIA"/>
    <n v="38"/>
    <n v="98351.53"/>
    <m/>
    <m/>
  </r>
  <r>
    <x v="1"/>
    <x v="8"/>
    <s v="AGROINDUSTRIA"/>
    <n v="15"/>
    <n v="40614.06"/>
    <n v="-0.60526315789473684"/>
    <n v="-0.58705207737998588"/>
  </r>
  <r>
    <x v="2"/>
    <x v="8"/>
    <s v="AGROINDUSTRIA"/>
    <n v="19"/>
    <n v="46095.39"/>
    <n v="0.26666666666666666"/>
    <n v="0.13496139021806738"/>
  </r>
  <r>
    <x v="3"/>
    <x v="8"/>
    <s v="AGROINDUSTRIA"/>
    <n v="15"/>
    <n v="37283.39"/>
    <n v="-0.21052631578947367"/>
    <n v="-0.19116879149954041"/>
  </r>
  <r>
    <x v="4"/>
    <x v="8"/>
    <s v="AGROINDUSTRIA"/>
    <n v="25"/>
    <n v="69171.62"/>
    <n v="0.66666666666666663"/>
    <n v="0.85529320161069033"/>
  </r>
  <r>
    <x v="5"/>
    <x v="8"/>
    <s v="AGROINDUSTRIA"/>
    <n v="19"/>
    <n v="50634.13"/>
    <n v="-0.24"/>
    <n v="-0.26799271146172376"/>
  </r>
  <r>
    <x v="6"/>
    <x v="8"/>
    <s v="AGROINDUSTRIA"/>
    <n v="30"/>
    <n v="76225.61"/>
    <n v="0.57894736842105265"/>
    <n v="0.50541956581459979"/>
  </r>
  <r>
    <x v="7"/>
    <x v="8"/>
    <s v="AGROINDUSTRIA"/>
    <n v="15"/>
    <n v="38561.19"/>
    <n v="-0.5"/>
    <n v="-0.494117659406071"/>
  </r>
  <r>
    <x v="8"/>
    <x v="8"/>
    <s v="AGROINDUSTRIA"/>
    <n v="24"/>
    <n v="59641.78"/>
    <n v="0.6"/>
    <n v="0.54667892769906723"/>
  </r>
  <r>
    <x v="0"/>
    <x v="8"/>
    <s v="AMBIENTAL"/>
    <n v="25"/>
    <n v="63305.84"/>
    <m/>
    <m/>
  </r>
  <r>
    <x v="1"/>
    <x v="8"/>
    <s v="AMBIENTAL"/>
    <n v="8"/>
    <n v="18844.05"/>
    <n v="-0.68"/>
    <n v="-0.70233314967465865"/>
  </r>
  <r>
    <x v="2"/>
    <x v="8"/>
    <s v="AMBIENTAL"/>
    <n v="8"/>
    <n v="19270.169999999998"/>
    <n v="0"/>
    <n v="2.2612973325797744E-2"/>
  </r>
  <r>
    <x v="3"/>
    <x v="8"/>
    <s v="AMBIENTAL"/>
    <n v="6"/>
    <n v="15617.88"/>
    <n v="-0.25"/>
    <n v="-0.18953076179400594"/>
  </r>
  <r>
    <x v="4"/>
    <x v="8"/>
    <s v="AMBIENTAL"/>
    <n v="9"/>
    <n v="24080.3"/>
    <n v="0.5"/>
    <n v="0.54184178646525649"/>
  </r>
  <r>
    <x v="5"/>
    <x v="8"/>
    <s v="AMBIENTAL"/>
    <n v="7"/>
    <n v="16637.89"/>
    <n v="-0.22222222222222221"/>
    <n v="-0.30906633223008018"/>
  </r>
  <r>
    <x v="6"/>
    <x v="8"/>
    <s v="AMBIENTAL"/>
    <n v="16"/>
    <n v="44459.24"/>
    <n v="1.2857142857142858"/>
    <n v="1.6721681655546465"/>
  </r>
  <r>
    <x v="7"/>
    <x v="8"/>
    <s v="AMBIENTAL"/>
    <n v="9"/>
    <n v="22119.16"/>
    <n v="-0.4375"/>
    <n v="-0.50248452290232581"/>
  </r>
  <r>
    <x v="8"/>
    <x v="8"/>
    <s v="AMBIENTAL"/>
    <n v="11"/>
    <n v="26561.13"/>
    <n v="0.22222222222222221"/>
    <n v="0.20082001305655373"/>
  </r>
  <r>
    <x v="0"/>
    <x v="8"/>
    <s v="BIOTECNOLOGIA"/>
    <n v="54"/>
    <n v="128056.76"/>
    <m/>
    <m/>
  </r>
  <r>
    <x v="1"/>
    <x v="8"/>
    <s v="BIOTECNOLOGIA"/>
    <n v="15"/>
    <n v="34513.449999999997"/>
    <n v="-0.72222222222222221"/>
    <n v="-0.73048318573732463"/>
  </r>
  <r>
    <x v="2"/>
    <x v="8"/>
    <s v="BIOTECNOLOGIA"/>
    <n v="43"/>
    <n v="91755.7"/>
    <n v="1.8666666666666667"/>
    <n v="1.6585490584105618"/>
  </r>
  <r>
    <x v="3"/>
    <x v="8"/>
    <s v="BIOTECNOLOGIA"/>
    <n v="26"/>
    <n v="56458.9"/>
    <n v="-0.39534883720930231"/>
    <n v="-0.38468236850680665"/>
  </r>
  <r>
    <x v="4"/>
    <x v="8"/>
    <s v="BIOTECNOLOGIA"/>
    <n v="56"/>
    <n v="121791.71"/>
    <n v="1.1538461538461537"/>
    <n v="1.1571746881359715"/>
  </r>
  <r>
    <x v="5"/>
    <x v="8"/>
    <s v="BIOTECNOLOGIA"/>
    <n v="25"/>
    <n v="55513.88"/>
    <n v="-0.5535714285714286"/>
    <n v="-0.5441899945406794"/>
  </r>
  <r>
    <x v="6"/>
    <x v="8"/>
    <s v="BIOTECNOLOGIA"/>
    <n v="64"/>
    <n v="151516.29"/>
    <n v="1.56"/>
    <n v="1.7293406621911493"/>
  </r>
  <r>
    <x v="7"/>
    <x v="8"/>
    <s v="BIOTECNOLOGIA"/>
    <n v="19"/>
    <n v="45033.52"/>
    <n v="-0.703125"/>
    <n v="-0.70278100130355625"/>
  </r>
  <r>
    <x v="8"/>
    <x v="8"/>
    <s v="BIOTECNOLOGÍA"/>
    <n v="55"/>
    <n v="126747.72"/>
    <n v="1.8947368421052631"/>
    <n v="1.8145194957000923"/>
  </r>
  <r>
    <x v="0"/>
    <x v="8"/>
    <s v="CIBERSEGURIDAD"/>
    <n v="16"/>
    <n v="38754.68"/>
    <m/>
    <m/>
  </r>
  <r>
    <x v="1"/>
    <x v="8"/>
    <s v="CIBERSEGURIDAD"/>
    <n v="6"/>
    <n v="12175.8"/>
    <n v="-0.625"/>
    <n v="-0.6858237508347379"/>
  </r>
  <r>
    <x v="2"/>
    <x v="8"/>
    <s v="CIBERSEGURIDAD"/>
    <n v="12"/>
    <n v="26173.439999999999"/>
    <n v="1"/>
    <n v="1.1496279505248115"/>
  </r>
  <r>
    <x v="3"/>
    <x v="8"/>
    <s v="CIBERSEGURIDAD"/>
    <n v="11"/>
    <n v="21715.9"/>
    <n v="-8.3333333333333329E-2"/>
    <n v="-0.17030776237284811"/>
  </r>
  <r>
    <x v="4"/>
    <x v="8"/>
    <s v="CIBERSEGURIDAD"/>
    <n v="30"/>
    <n v="68715.22"/>
    <n v="1.7272727272727273"/>
    <n v="2.1642814711801028"/>
  </r>
  <r>
    <x v="5"/>
    <x v="8"/>
    <s v="CIBERSEGURIDAD"/>
    <n v="26"/>
    <n v="51406.559999999998"/>
    <n v="-0.13333333333333333"/>
    <n v="-0.2518897560103861"/>
  </r>
  <r>
    <x v="6"/>
    <x v="8"/>
    <s v="CIBERSEGURIDAD"/>
    <n v="49"/>
    <n v="107311.71"/>
    <n v="0.88461538461538458"/>
    <n v="1.0875100376294389"/>
  </r>
  <r>
    <x v="7"/>
    <x v="8"/>
    <s v="CIBERSEGURIDAD"/>
    <n v="42"/>
    <n v="81024.759999999995"/>
    <n v="-0.14285714285714285"/>
    <n v="-0.24495882136255223"/>
  </r>
  <r>
    <x v="8"/>
    <x v="8"/>
    <s v="CIBERSEGURIDAD"/>
    <n v="54"/>
    <n v="109337.98"/>
    <n v="0.2857142857142857"/>
    <n v="0.34943910972399056"/>
  </r>
  <r>
    <x v="0"/>
    <x v="8"/>
    <s v="ELECTRONICA Y AUTOMATIZACION"/>
    <n v="19"/>
    <n v="51033.81"/>
    <m/>
    <m/>
  </r>
  <r>
    <x v="1"/>
    <x v="8"/>
    <s v="ELECTRONICA Y AUTOMATIZACION"/>
    <n v="7"/>
    <n v="16991.02"/>
    <n v="-0.63157894736842102"/>
    <n v="-0.66706346243794057"/>
  </r>
  <r>
    <x v="2"/>
    <x v="8"/>
    <s v="ELECTRONICA Y AUTOMATIZACION"/>
    <n v="33"/>
    <n v="85033.56"/>
    <n v="3.7142857142857144"/>
    <n v="4.0046177333673905"/>
  </r>
  <r>
    <x v="3"/>
    <x v="8"/>
    <s v="ELECTRONICA Y AUTOMATIZACION"/>
    <n v="13"/>
    <n v="33178.81"/>
    <n v="-0.60606060606060608"/>
    <n v="-0.60981511299773883"/>
  </r>
  <r>
    <x v="4"/>
    <x v="8"/>
    <s v="ELECTRONICA Y AUTOMATIZACION"/>
    <n v="44"/>
    <n v="114176.18"/>
    <n v="2.3846153846153846"/>
    <n v="2.441237946749748"/>
  </r>
  <r>
    <x v="5"/>
    <x v="8"/>
    <s v="ELECTRONICA Y AUTOMATIZACION"/>
    <n v="21"/>
    <n v="57929.65"/>
    <n v="-0.52272727272727271"/>
    <n v="-0.49262928572316916"/>
  </r>
  <r>
    <x v="6"/>
    <x v="8"/>
    <s v="ELECTRONICA Y AUTOMATIZACION"/>
    <n v="43"/>
    <n v="114692.9"/>
    <n v="1.0476190476190477"/>
    <n v="0.97986523308875495"/>
  </r>
  <r>
    <x v="7"/>
    <x v="8"/>
    <s v="ELECTRONICA Y AUTOMATIZACION"/>
    <n v="23"/>
    <n v="55562.43"/>
    <n v="-0.46511627906976744"/>
    <n v="-0.51555475535102868"/>
  </r>
  <r>
    <x v="8"/>
    <x v="8"/>
    <s v="ELECTRÓNICA Y AUTOMATIZACIÓN"/>
    <n v="43"/>
    <n v="115420.18"/>
    <n v="0.86956521739130432"/>
    <n v="1.0773061941315381"/>
  </r>
  <r>
    <x v="0"/>
    <x v="8"/>
    <s v="INDUSTRIAL"/>
    <n v="70"/>
    <n v="177765.86"/>
    <m/>
    <m/>
  </r>
  <r>
    <x v="1"/>
    <x v="8"/>
    <s v="INDUSTRIAL"/>
    <n v="18"/>
    <n v="41894.980000000003"/>
    <n v="-0.74285714285714288"/>
    <n v="-0.76432493843306015"/>
  </r>
  <r>
    <x v="2"/>
    <x v="8"/>
    <s v="INDUSTRIAL"/>
    <n v="34"/>
    <n v="89124.01"/>
    <n v="0.88888888888888884"/>
    <n v="1.1273195499794961"/>
  </r>
  <r>
    <x v="3"/>
    <x v="8"/>
    <s v="INDUSTRIAL"/>
    <n v="23"/>
    <n v="55489.49"/>
    <n v="-0.3235294117647059"/>
    <n v="-0.37739011070080891"/>
  </r>
  <r>
    <x v="4"/>
    <x v="8"/>
    <s v="INDUSTRIAL"/>
    <n v="38"/>
    <n v="97367.23"/>
    <n v="0.65217391304347827"/>
    <n v="0.75469679032912362"/>
  </r>
  <r>
    <x v="5"/>
    <x v="8"/>
    <s v="INDUSTRIAL"/>
    <n v="19"/>
    <n v="49536.38"/>
    <n v="-0.5"/>
    <n v="-0.49124176583846535"/>
  </r>
  <r>
    <x v="6"/>
    <x v="8"/>
    <s v="INDUSTRIAL"/>
    <n v="44"/>
    <n v="109638.65"/>
    <n v="1.3157894736842106"/>
    <n v="1.2132955617669277"/>
  </r>
  <r>
    <x v="7"/>
    <x v="8"/>
    <s v="INDUSTRIAL"/>
    <n v="17"/>
    <n v="40931.01"/>
    <n v="-0.61363636363636365"/>
    <n v="-0.62667353164235406"/>
  </r>
  <r>
    <x v="8"/>
    <x v="8"/>
    <s v="INDUSTRIAL"/>
    <n v="42"/>
    <n v="103782.89"/>
    <n v="1.4705882352941178"/>
    <n v="1.5355565376959912"/>
  </r>
  <r>
    <x v="8"/>
    <x v="8"/>
    <s v="INTELIGENCIA ARTIFICIAL"/>
    <n v="20"/>
    <n v="45982.68"/>
    <m/>
    <m/>
  </r>
  <r>
    <x v="0"/>
    <x v="8"/>
    <s v="NETWORKING Y TELECOMUNICACIONES"/>
    <n v="14"/>
    <n v="28949.87"/>
    <m/>
    <m/>
  </r>
  <r>
    <x v="1"/>
    <x v="8"/>
    <s v="NETWORKING Y TELECOMUNICACIONES"/>
    <n v="12"/>
    <n v="28163.91"/>
    <n v="-0.14285714285714285"/>
    <n v="-2.7148999287388825E-2"/>
  </r>
  <r>
    <x v="2"/>
    <x v="8"/>
    <s v="NETWORKING Y TELECOMUNICACIONES"/>
    <n v="11"/>
    <n v="26536.04"/>
    <n v="-8.3333333333333329E-2"/>
    <n v="-5.7799858045278478E-2"/>
  </r>
  <r>
    <x v="3"/>
    <x v="8"/>
    <s v="NETWORKING Y TELECOMUNICACIONES"/>
    <n v="8"/>
    <n v="13118.51"/>
    <n v="-0.27272727272727271"/>
    <n v="-0.50563422424747628"/>
  </r>
  <r>
    <x v="4"/>
    <x v="8"/>
    <s v="NETWORKING Y TELECOMUNICACIONES"/>
    <n v="9"/>
    <n v="21154.59"/>
    <n v="0.125"/>
    <n v="0.6125756659864573"/>
  </r>
  <r>
    <x v="5"/>
    <x v="8"/>
    <s v="NETWORKING Y TELECOMUNICACIONES"/>
    <n v="4"/>
    <n v="8221.07"/>
    <n v="-0.55555555555555558"/>
    <n v="-0.61138126524787295"/>
  </r>
  <r>
    <x v="6"/>
    <x v="8"/>
    <s v="NETWORKING Y TELECOMUNICACIONES"/>
    <n v="10"/>
    <n v="21564.33"/>
    <n v="1.5"/>
    <n v="1.6230563661421205"/>
  </r>
  <r>
    <x v="7"/>
    <x v="8"/>
    <s v="NETWORKING Y TELECOMUNICACIONES"/>
    <n v="6"/>
    <n v="14174.66"/>
    <n v="-0.4"/>
    <n v="-0.3426802502094895"/>
  </r>
  <r>
    <x v="8"/>
    <x v="8"/>
    <s v="NETWORKING Y TELECOMUNICACIONES"/>
    <n v="6"/>
    <n v="12799.31"/>
    <n v="0"/>
    <n v="-9.7028782348218615E-2"/>
  </r>
  <r>
    <x v="0"/>
    <x v="8"/>
    <s v="SOFTWARE"/>
    <n v="54"/>
    <n v="126790.31"/>
    <m/>
    <m/>
  </r>
  <r>
    <x v="1"/>
    <x v="8"/>
    <s v="SOFTWARE"/>
    <n v="34"/>
    <n v="79827.539999999994"/>
    <n v="-0.37037037037037035"/>
    <n v="-0.37039715416738084"/>
  </r>
  <r>
    <x v="2"/>
    <x v="8"/>
    <s v="SOFTWARE"/>
    <n v="95"/>
    <n v="231868.32"/>
    <n v="1.7941176470588236"/>
    <n v="1.9046156251338828"/>
  </r>
  <r>
    <x v="3"/>
    <x v="8"/>
    <s v="SOFTWARE"/>
    <n v="71"/>
    <n v="166085.31"/>
    <n v="-0.25263157894736843"/>
    <n v="-0.28370848591993941"/>
  </r>
  <r>
    <x v="4"/>
    <x v="8"/>
    <s v="SOFTWARE"/>
    <n v="122"/>
    <n v="292810.19"/>
    <n v="0.71830985915492962"/>
    <n v="0.76301076838162274"/>
  </r>
  <r>
    <x v="5"/>
    <x v="8"/>
    <s v="SOFTWARE"/>
    <n v="84"/>
    <n v="208561.14"/>
    <n v="-0.31147540983606559"/>
    <n v="-0.28772581309414125"/>
  </r>
  <r>
    <x v="6"/>
    <x v="8"/>
    <s v="SOFTWARE"/>
    <n v="135"/>
    <n v="322827.65999999997"/>
    <n v="0.6071428571428571"/>
    <n v="0.54788020433720275"/>
  </r>
  <r>
    <x v="7"/>
    <x v="8"/>
    <s v="SOFTWARE"/>
    <n v="67"/>
    <n v="157268.49"/>
    <n v="-0.50370370370370365"/>
    <n v="-0.51284072126905111"/>
  </r>
  <r>
    <x v="8"/>
    <x v="8"/>
    <s v="SOFTWARE"/>
    <n v="156"/>
    <n v="360159.69"/>
    <n v="1.3283582089552239"/>
    <n v="1.2900944111563608"/>
  </r>
  <r>
    <x v="0"/>
    <x v="8"/>
    <s v="SONIDO Y ACUSTICA"/>
    <n v="14"/>
    <n v="38435.64"/>
    <m/>
    <m/>
  </r>
  <r>
    <x v="1"/>
    <x v="8"/>
    <s v="SONIDO Y ACUSTICA"/>
    <n v="5"/>
    <n v="14266.11"/>
    <n v="-0.6428571428571429"/>
    <n v="-0.62883120978341978"/>
  </r>
  <r>
    <x v="2"/>
    <x v="8"/>
    <s v="SONIDO Y ACUSTICA"/>
    <n v="18"/>
    <n v="44135.47"/>
    <n v="2.6"/>
    <n v="2.0937284235155902"/>
  </r>
  <r>
    <x v="3"/>
    <x v="8"/>
    <s v="SONIDO Y ACUSTICA"/>
    <n v="7"/>
    <n v="17302.09"/>
    <n v="-0.61111111111111116"/>
    <n v="-0.60797766512965645"/>
  </r>
  <r>
    <x v="4"/>
    <x v="8"/>
    <s v="SONIDO Y ACUSTICA"/>
    <n v="11"/>
    <n v="29236.7"/>
    <n v="0.5714285714285714"/>
    <n v="0.68977851808654334"/>
  </r>
  <r>
    <x v="5"/>
    <x v="8"/>
    <s v="SONIDO Y ACUSTICA"/>
    <n v="7"/>
    <n v="18722.23"/>
    <n v="-0.36363636363636365"/>
    <n v="-0.35963258507287077"/>
  </r>
  <r>
    <x v="6"/>
    <x v="8"/>
    <s v="SONIDO Y ACUSTICA"/>
    <n v="12"/>
    <n v="29208.07"/>
    <n v="0.7142857142857143"/>
    <n v="0.56007430738752806"/>
  </r>
  <r>
    <x v="7"/>
    <x v="8"/>
    <s v="SONIDO Y ACUSTICA"/>
    <n v="5"/>
    <n v="11516.71"/>
    <n v="-0.58333333333333337"/>
    <n v="-0.6057010956218607"/>
  </r>
  <r>
    <x v="8"/>
    <x v="8"/>
    <s v="SONIDO Y ACÚSTICA"/>
    <n v="10"/>
    <n v="26316.58"/>
    <n v="1"/>
    <n v="1.285077943266784"/>
  </r>
  <r>
    <x v="0"/>
    <x v="9"/>
    <s v="MEDICINA"/>
    <n v="367"/>
    <n v="1603365.41"/>
    <m/>
    <m/>
  </r>
  <r>
    <x v="1"/>
    <x v="9"/>
    <s v="MEDICINA"/>
    <n v="238"/>
    <n v="1051874.51"/>
    <n v="-0.35149863760217986"/>
    <n v="-0.34395833698320832"/>
  </r>
  <r>
    <x v="2"/>
    <x v="9"/>
    <s v="MEDICINA"/>
    <n v="330"/>
    <n v="1452222.27"/>
    <n v="0.38655462184873951"/>
    <n v="0.38060410837410635"/>
  </r>
  <r>
    <x v="3"/>
    <x v="9"/>
    <s v="MEDICINA"/>
    <n v="236"/>
    <n v="1049869.55"/>
    <n v="-0.28484848484848485"/>
    <n v="-0.27706001230789551"/>
  </r>
  <r>
    <x v="4"/>
    <x v="9"/>
    <s v="MEDICINA"/>
    <n v="419"/>
    <n v="1846866.41"/>
    <n v="0.77542372881355937"/>
    <n v="0.75913894254767156"/>
  </r>
  <r>
    <x v="5"/>
    <x v="9"/>
    <s v="MEDICINA"/>
    <n v="181"/>
    <n v="791034.9"/>
    <n v="-0.56801909307875897"/>
    <n v="-0.57168807894448626"/>
  </r>
  <r>
    <x v="6"/>
    <x v="9"/>
    <s v="MEDICINA"/>
    <n v="352"/>
    <n v="1548502.34"/>
    <n v="0.94475138121546964"/>
    <n v="0.95756513397828591"/>
  </r>
  <r>
    <x v="7"/>
    <x v="9"/>
    <s v="MEDICINA"/>
    <n v="168"/>
    <n v="726213.13"/>
    <n v="-0.52272727272727271"/>
    <n v="-0.53102225857792373"/>
  </r>
  <r>
    <x v="8"/>
    <x v="9"/>
    <s v="MEDICINA"/>
    <n v="363"/>
    <n v="1552438.69"/>
    <n v="1.1607142857142858"/>
    <n v="1.1377177385928012"/>
  </r>
  <r>
    <x v="0"/>
    <x v="10"/>
    <s v="ODONTOLOGIA"/>
    <n v="113"/>
    <n v="426584.03"/>
    <m/>
    <m/>
  </r>
  <r>
    <x v="1"/>
    <x v="10"/>
    <s v="ODONTOLOGIA"/>
    <n v="75"/>
    <n v="294051.38"/>
    <n v="-0.33628318584070799"/>
    <n v="-0.31068357153454623"/>
  </r>
  <r>
    <x v="2"/>
    <x v="10"/>
    <s v="ODONTOLOGIA"/>
    <n v="120"/>
    <n v="466414.23"/>
    <n v="0.6"/>
    <n v="0.58616575783456615"/>
  </r>
  <r>
    <x v="3"/>
    <x v="10"/>
    <s v="ODONTOLOGIA"/>
    <n v="76"/>
    <n v="298493.34000000003"/>
    <n v="-0.36666666666666664"/>
    <n v="-0.36002522907587953"/>
  </r>
  <r>
    <x v="4"/>
    <x v="10"/>
    <s v="ODONTOLOGIA"/>
    <n v="113"/>
    <n v="422703.08"/>
    <n v="0.48684210526315791"/>
    <n v="0.41612231616289991"/>
  </r>
  <r>
    <x v="5"/>
    <x v="10"/>
    <s v="ODONTOLOGIA"/>
    <n v="64"/>
    <n v="251244.3"/>
    <n v="-0.4336283185840708"/>
    <n v="-0.40562462899489643"/>
  </r>
  <r>
    <x v="6"/>
    <x v="10"/>
    <s v="ODONTOLOGIA"/>
    <n v="93"/>
    <n v="357573.24"/>
    <n v="0.453125"/>
    <n v="0.42320936236165363"/>
  </r>
  <r>
    <x v="7"/>
    <x v="10"/>
    <s v="ODONTOLOGIA"/>
    <n v="54"/>
    <n v="206771.68"/>
    <n v="-0.41935483870967744"/>
    <n v="-0.42173614557957412"/>
  </r>
  <r>
    <x v="8"/>
    <x v="10"/>
    <s v="ODONTOLOGIA"/>
    <n v="108"/>
    <n v="391655.75"/>
    <n v="1"/>
    <n v="0.89414599716943832"/>
  </r>
  <r>
    <x v="0"/>
    <x v="11"/>
    <s v="ENFERMERIA"/>
    <n v="80"/>
    <n v="158803.97"/>
    <m/>
    <m/>
  </r>
  <r>
    <x v="1"/>
    <x v="11"/>
    <s v="ENFERMERIA"/>
    <n v="135"/>
    <n v="260046.96"/>
    <n v="0.6875"/>
    <n v="0.63753437650204836"/>
  </r>
  <r>
    <x v="2"/>
    <x v="11"/>
    <s v="ENFERMERIA"/>
    <n v="172"/>
    <n v="311217.76"/>
    <n v="0.27407407407407408"/>
    <n v="0.19677522859717345"/>
  </r>
  <r>
    <x v="3"/>
    <x v="11"/>
    <s v="ENFERMERIA"/>
    <n v="181"/>
    <n v="319671.26"/>
    <n v="5.232558139534884E-2"/>
    <n v="2.7162652928290468E-2"/>
  </r>
  <r>
    <x v="4"/>
    <x v="11"/>
    <s v="ENFERMERIA"/>
    <n v="170"/>
    <n v="323321.77"/>
    <n v="-6.0773480662983423E-2"/>
    <n v="1.141957522237066E-2"/>
  </r>
  <r>
    <x v="5"/>
    <x v="11"/>
    <s v="ENFERMERIA"/>
    <n v="132"/>
    <n v="250237.7"/>
    <n v="-0.22352941176470589"/>
    <n v="-0.2260412900745904"/>
  </r>
  <r>
    <x v="6"/>
    <x v="11"/>
    <s v="ENFERMERIA"/>
    <n v="129"/>
    <n v="233891.46"/>
    <n v="-2.2727272727272728E-2"/>
    <n v="-6.5322851033237678E-2"/>
  </r>
  <r>
    <x v="7"/>
    <x v="11"/>
    <s v="ENFERMERIA"/>
    <n v="107"/>
    <n v="187563"/>
    <n v="-0.17054263565891473"/>
    <n v="-0.19807674893303071"/>
  </r>
  <r>
    <x v="8"/>
    <x v="11"/>
    <s v="ENFERMERIA"/>
    <n v="128"/>
    <n v="230539.64"/>
    <n v="0.19626168224299065"/>
    <n v="0.22913175839584574"/>
  </r>
  <r>
    <x v="0"/>
    <x v="11"/>
    <s v="FISIOTERAPIA"/>
    <n v="45"/>
    <n v="120146.11"/>
    <m/>
    <m/>
  </r>
  <r>
    <x v="1"/>
    <x v="11"/>
    <s v="FISIOTERAPIA"/>
    <n v="53"/>
    <n v="129348.42"/>
    <n v="0.17777777777777778"/>
    <n v="7.6592658721951118E-2"/>
  </r>
  <r>
    <x v="2"/>
    <x v="11"/>
    <s v="FISIOTERAPIA"/>
    <n v="51"/>
    <n v="127140.56"/>
    <n v="-3.7735849056603772E-2"/>
    <n v="-1.7069091373516587E-2"/>
  </r>
  <r>
    <x v="3"/>
    <x v="11"/>
    <s v="FISIOTERAPIA"/>
    <n v="66"/>
    <n v="151035.01999999999"/>
    <n v="0.29411764705882354"/>
    <n v="0.18793735059842423"/>
  </r>
  <r>
    <x v="4"/>
    <x v="11"/>
    <s v="FISIOTERAPIA"/>
    <n v="86"/>
    <n v="206231.72"/>
    <n v="0.30303030303030304"/>
    <n v="0.36545630278328839"/>
  </r>
  <r>
    <x v="5"/>
    <x v="11"/>
    <s v="FISIOTERAPIA"/>
    <n v="53"/>
    <n v="124386.09"/>
    <n v="-0.38372093023255816"/>
    <n v="-0.39686247101076405"/>
  </r>
  <r>
    <x v="6"/>
    <x v="11"/>
    <s v="FISIOTERAPIA"/>
    <n v="62"/>
    <n v="143745.07"/>
    <n v="0.16981132075471697"/>
    <n v="0.15563621302028233"/>
  </r>
  <r>
    <x v="7"/>
    <x v="11"/>
    <s v="FISIOTERAPIA"/>
    <n v="69"/>
    <n v="154986.22"/>
    <n v="0.11290322580645161"/>
    <n v="7.8201986335948728E-2"/>
  </r>
  <r>
    <x v="8"/>
    <x v="11"/>
    <s v="FISIOTERAPIA"/>
    <n v="96"/>
    <n v="214591.53"/>
    <n v="0.39130434782608697"/>
    <n v="0.38458457790634548"/>
  </r>
  <r>
    <x v="0"/>
    <x v="11"/>
    <s v="MEDICINA VETERINARIA"/>
    <n v="87"/>
    <n v="269598.07"/>
    <m/>
    <m/>
  </r>
  <r>
    <x v="1"/>
    <x v="11"/>
    <s v="MEDICINA VETERINARIA"/>
    <n v="46"/>
    <n v="138857.06"/>
    <n v="-0.47126436781609193"/>
    <n v="-0.48494787073216067"/>
  </r>
  <r>
    <x v="2"/>
    <x v="11"/>
    <s v="MEDICINA VETERINARIA"/>
    <n v="98"/>
    <n v="287732.3"/>
    <n v="1.1304347826086956"/>
    <n v="1.0721474298822111"/>
  </r>
  <r>
    <x v="3"/>
    <x v="11"/>
    <s v="MEDICINA VETERINARIA"/>
    <n v="60"/>
    <n v="170487.11"/>
    <n v="-0.38775510204081631"/>
    <n v="-0.40748011259076583"/>
  </r>
  <r>
    <x v="4"/>
    <x v="11"/>
    <s v="MEDICINA VETERINARIA"/>
    <n v="98"/>
    <n v="281936.95"/>
    <n v="0.6333333333333333"/>
    <n v="0.6537141722913834"/>
  </r>
  <r>
    <x v="5"/>
    <x v="11"/>
    <s v="MEDICINA VETERINARIA"/>
    <n v="54"/>
    <n v="162343.10999999999"/>
    <n v="-0.44897959183673469"/>
    <n v="-0.42418647147881827"/>
  </r>
  <r>
    <x v="6"/>
    <x v="11"/>
    <s v="MEDICINA VETERINARIA"/>
    <n v="74"/>
    <n v="211949.61"/>
    <n v="0.37037037037037035"/>
    <n v="0.30556578594558159"/>
  </r>
  <r>
    <x v="7"/>
    <x v="11"/>
    <s v="MEDICINA VETERINARIA"/>
    <n v="59"/>
    <n v="165691.43"/>
    <n v="-0.20270270270270271"/>
    <n v="-0.21825083801758349"/>
  </r>
  <r>
    <x v="8"/>
    <x v="11"/>
    <s v="MEDICINA VETERINARIA"/>
    <n v="108"/>
    <n v="302560.96000000002"/>
    <n v="0.83050847457627119"/>
    <n v="0.826050749878856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40B25E-31BE-4B1D-ABF3-A1D0EC2831B1}" name="TablaDinámica1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3:B6" firstHeaderRow="1" firstDataRow="1" firstDataCol="1" rowPageCount="1" colPageCount="1"/>
  <pivotFields count="7">
    <pivotField axis="axisPage" multipleItemSelectionAllowed="1" showAll="0">
      <items count="10">
        <item x="0"/>
        <item h="1" x="1"/>
        <item h="1" x="2"/>
        <item h="1" x="3"/>
        <item h="1" x="4"/>
        <item h="1" x="5"/>
        <item h="1" x="6"/>
        <item h="1" x="7"/>
        <item h="1" x="8"/>
        <item t="default"/>
      </items>
    </pivotField>
    <pivotField axis="axisRow" showAll="0" sortType="descending">
      <items count="13">
        <item h="1" x="0"/>
        <item h="1" x="1"/>
        <item h="1" x="2"/>
        <item h="1" x="3"/>
        <item h="1" x="4"/>
        <item h="1" x="5"/>
        <item x="6"/>
        <item x="7"/>
        <item h="1" x="8"/>
        <item h="1" x="9"/>
        <item h="1" x="10"/>
        <item h="1"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</pivotFields>
  <rowFields count="1">
    <field x="1"/>
  </rowFields>
  <rowItems count="3">
    <i>
      <x v="6"/>
    </i>
    <i>
      <x v="7"/>
    </i>
    <i t="grand">
      <x/>
    </i>
  </rowItems>
  <colItems count="1">
    <i/>
  </colItems>
  <pageFields count="1">
    <pageField fld="0" hier="-1"/>
  </pageFields>
  <dataFields count="1">
    <dataField name="Suma de ENROLLMENT" fld="3" showDataAs="percentOfCol" baseField="1" baseItem="0" numFmtId="1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78BF7C-60D6-4948-A7F4-702BF57245FB}" name="TablaDinámica1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23:B36" firstHeaderRow="1" firstDataRow="1" firstDataCol="1" rowPageCount="1" colPageCount="1"/>
  <pivotFields count="7">
    <pivotField axis="axisPage" multipleItemSelectionAllowed="1" showAll="0">
      <items count="10">
        <item h="1" x="0"/>
        <item h="1" x="1"/>
        <item h="1" x="2"/>
        <item h="1" x="3"/>
        <item h="1" x="4"/>
        <item h="1" x="5"/>
        <item h="1" x="6"/>
        <item h="1" x="7"/>
        <item x="8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0" hier="-1"/>
  </pageFields>
  <dataFields count="1">
    <dataField name="Suma de INGRESOS" fld="4" showDataAs="percentOfCol" baseField="1" baseItem="0" numFmtId="1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F87329-BCA2-4E4E-A244-AED3F675FF84}" name="pregrado" displayName="pregrado" ref="A1:H334" totalsRowShown="0" headerRowDxfId="19" headerRowCellStyle="Porcentaje">
  <autoFilter ref="A1:H334" xr:uid="{B9F87329-BCA2-4E4E-A244-AED3F675FF84}">
    <filterColumn colId="2">
      <filters>
        <filter val="Escuela de Música"/>
      </filters>
    </filterColumn>
  </autoFilter>
  <tableColumns count="8">
    <tableColumn id="1" xr3:uid="{FBE8D13C-A7F5-4945-B8CD-2988EBB6F2D2}" name="NIVEL ACADÉMICO"/>
    <tableColumn id="2" xr3:uid="{9471302F-AFA4-404C-8045-0DF8F5C012E1}" name="SEMESTRE"/>
    <tableColumn id="3" xr3:uid="{7F912233-2295-4DA2-97F5-898BE0806CF1}" name="FACULTAD"/>
    <tableColumn id="4" xr3:uid="{2F6ED3EE-761C-4EF2-AF87-29650190B1AC}" name="CARRERA"/>
    <tableColumn id="5" xr3:uid="{824BB467-9CF5-4B68-93AC-5C9589CB7006}" name="ENROLLMENT"/>
    <tableColumn id="6" xr3:uid="{3898A11F-FB11-457C-813F-B8BB14EE18E1}" name="INGRESOS"/>
    <tableColumn id="7" xr3:uid="{1D87FB14-DCDA-4362-94C5-687118730075}" name="Variación Enrollment" dataDxfId="18" dataCellStyle="Porcentaje"/>
    <tableColumn id="8" xr3:uid="{F8491CA6-5F56-40FA-B81A-086D2ABC486D}" name="Variación Ingresos" dataDxfId="17" dataCellStyle="Porcentaj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52DEB2-EEDC-4BDD-A09B-5CDA28F91CB9}" name="hola" displayName="hola" ref="I1:O75" totalsRowShown="0" headerRowDxfId="16" dataDxfId="15" dataCellStyle="Porcentaje">
  <autoFilter ref="I1:O75" xr:uid="{7452DEB2-EEDC-4BDD-A09B-5CDA28F91CB9}"/>
  <tableColumns count="7">
    <tableColumn id="1" xr3:uid="{C248455B-93E0-4A34-BB52-6A0078F93940}" name="Facultad" dataDxfId="14"/>
    <tableColumn id="2" xr3:uid="{C58A6462-C42D-49A4-9F4F-51C36E2BE44E}" name="Carrera" dataDxfId="13"/>
    <tableColumn id="3" xr3:uid="{96FAA2CD-B537-4A22-BCE8-9BC668D77772}" name="Variable" dataDxfId="12"/>
    <tableColumn id="4" xr3:uid="{01331492-322D-4599-B3AA-B41DD74E54CF}" name="202210" dataDxfId="11" dataCellStyle="Porcentaje"/>
    <tableColumn id="5" xr3:uid="{EBAF803F-B0BF-4D27-A62A-606D6DE9FD9F}" name="202310" dataDxfId="10" dataCellStyle="Porcentaje"/>
    <tableColumn id="6" xr3:uid="{46D6166B-6E18-41EE-A6B3-5DA79154A435}" name="202410" dataDxfId="9" dataCellStyle="Porcentaje"/>
    <tableColumn id="7" xr3:uid="{6891C4B7-6940-463D-B875-0A6C73B06531}" name="202510" dataDxfId="8" dataCellStyle="Porcentaj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9DB783-BF2F-40E6-AF8B-FBA36B91C7F8}" name="semestre_20" displayName="semestre_20" ref="R1:W75" totalsRowShown="0" headerRowDxfId="7" dataDxfId="6" dataCellStyle="Porcentaje">
  <autoFilter ref="R1:W75" xr:uid="{939DB783-BF2F-40E6-AF8B-FBA36B91C7F8}"/>
  <tableColumns count="6">
    <tableColumn id="1" xr3:uid="{43FC3860-641F-490A-AAD5-96CC6983A87C}" name="Facultad" dataDxfId="5"/>
    <tableColumn id="2" xr3:uid="{EC707386-1315-49B5-AD18-BC0872A211EA}" name="Carrera" dataDxfId="4"/>
    <tableColumn id="3" xr3:uid="{0494E15B-46F7-4D66-AB1C-95A63F1BE7DA}" name="Variable" dataDxfId="3"/>
    <tableColumn id="4" xr3:uid="{4AAAE583-BA2A-449F-823A-8636DA0BD4F0}" name="202220" dataDxfId="2" dataCellStyle="Porcentaje"/>
    <tableColumn id="5" xr3:uid="{98E6B739-6CED-4FCC-A039-EA6B57182810}" name="202320" dataDxfId="1" dataCellStyle="Porcentaje"/>
    <tableColumn id="6" xr3:uid="{40214470-AF83-4F86-AA54-09E4B5BB01AF}" name="202420" dataDxfId="0" dataCellStyle="Porcentaj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E6E23-851D-40EC-AD10-947A38252F96}">
  <dimension ref="A1:B36"/>
  <sheetViews>
    <sheetView workbookViewId="0">
      <selection activeCell="C11" sqref="C11"/>
    </sheetView>
  </sheetViews>
  <sheetFormatPr baseColWidth="10" defaultColWidth="11.42578125" defaultRowHeight="15" x14ac:dyDescent="0.25"/>
  <cols>
    <col min="1" max="1" width="44.42578125" bestFit="1" customWidth="1"/>
    <col min="2" max="2" width="21.85546875" bestFit="1" customWidth="1"/>
    <col min="3" max="3" width="17.28515625" bestFit="1" customWidth="1"/>
  </cols>
  <sheetData>
    <row r="1" spans="1:2" x14ac:dyDescent="0.25">
      <c r="A1" s="7" t="s">
        <v>0</v>
      </c>
      <c r="B1" s="8">
        <v>202110</v>
      </c>
    </row>
    <row r="3" spans="1:2" x14ac:dyDescent="0.25">
      <c r="A3" s="7" t="s">
        <v>1</v>
      </c>
      <c r="B3" t="s">
        <v>2</v>
      </c>
    </row>
    <row r="4" spans="1:2" x14ac:dyDescent="0.25">
      <c r="A4" s="8" t="s">
        <v>9</v>
      </c>
      <c r="B4" s="9">
        <v>0.51910828025477707</v>
      </c>
    </row>
    <row r="5" spans="1:2" x14ac:dyDescent="0.25">
      <c r="A5" s="8" t="s">
        <v>10</v>
      </c>
      <c r="B5" s="9">
        <v>0.48089171974522293</v>
      </c>
    </row>
    <row r="6" spans="1:2" x14ac:dyDescent="0.25">
      <c r="A6" s="8" t="s">
        <v>15</v>
      </c>
      <c r="B6" s="9">
        <v>1</v>
      </c>
    </row>
    <row r="21" spans="1:2" x14ac:dyDescent="0.25">
      <c r="A21" s="7" t="s">
        <v>0</v>
      </c>
      <c r="B21" s="8">
        <v>202510</v>
      </c>
    </row>
    <row r="23" spans="1:2" x14ac:dyDescent="0.25">
      <c r="A23" s="7" t="s">
        <v>1</v>
      </c>
      <c r="B23" t="s">
        <v>16</v>
      </c>
    </row>
    <row r="24" spans="1:2" x14ac:dyDescent="0.25">
      <c r="A24" s="8" t="s">
        <v>3</v>
      </c>
      <c r="B24" s="9">
        <v>4.3420666553101034E-2</v>
      </c>
    </row>
    <row r="25" spans="1:2" x14ac:dyDescent="0.25">
      <c r="A25" s="8" t="s">
        <v>4</v>
      </c>
      <c r="B25" s="9">
        <v>8.7757920350246439E-3</v>
      </c>
    </row>
    <row r="26" spans="1:2" x14ac:dyDescent="0.25">
      <c r="A26" s="8" t="s">
        <v>5</v>
      </c>
      <c r="B26" s="9">
        <v>5.5383739776826021E-2</v>
      </c>
    </row>
    <row r="27" spans="1:2" x14ac:dyDescent="0.25">
      <c r="A27" s="8" t="s">
        <v>6</v>
      </c>
      <c r="B27" s="9">
        <v>6.0783812292548201E-2</v>
      </c>
    </row>
    <row r="28" spans="1:2" x14ac:dyDescent="0.25">
      <c r="A28" s="8" t="s">
        <v>7</v>
      </c>
      <c r="B28" s="9">
        <v>0.16411649248890442</v>
      </c>
    </row>
    <row r="29" spans="1:2" x14ac:dyDescent="0.25">
      <c r="A29" s="8" t="s">
        <v>8</v>
      </c>
      <c r="B29" s="9">
        <v>1.7646194479191399E-2</v>
      </c>
    </row>
    <row r="30" spans="1:2" x14ac:dyDescent="0.25">
      <c r="A30" s="8" t="s">
        <v>9</v>
      </c>
      <c r="B30" s="9">
        <v>6.4776996960154501E-2</v>
      </c>
    </row>
    <row r="31" spans="1:2" x14ac:dyDescent="0.25">
      <c r="A31" s="8" t="s">
        <v>10</v>
      </c>
      <c r="B31" s="9">
        <v>4.4041886759774065E-2</v>
      </c>
    </row>
    <row r="32" spans="1:2" x14ac:dyDescent="0.25">
      <c r="A32" s="8" t="s">
        <v>11</v>
      </c>
      <c r="B32" s="9">
        <v>0.1451352769485055</v>
      </c>
    </row>
    <row r="33" spans="1:2" x14ac:dyDescent="0.25">
      <c r="A33" s="8" t="s">
        <v>12</v>
      </c>
      <c r="B33" s="9">
        <v>0.22833912634311898</v>
      </c>
    </row>
    <row r="34" spans="1:2" x14ac:dyDescent="0.25">
      <c r="A34" s="8" t="s">
        <v>13</v>
      </c>
      <c r="B34" s="9">
        <v>5.7606353383436365E-2</v>
      </c>
    </row>
    <row r="35" spans="1:2" x14ac:dyDescent="0.25">
      <c r="A35" s="8" t="s">
        <v>14</v>
      </c>
      <c r="B35" s="9">
        <v>0.10997366197941495</v>
      </c>
    </row>
    <row r="36" spans="1:2" x14ac:dyDescent="0.25">
      <c r="A36" s="8" t="s">
        <v>15</v>
      </c>
      <c r="B36" s="9">
        <v>1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C2E9B-5ABC-48E0-A154-9C41BA844E06}">
  <dimension ref="A1:H334"/>
  <sheetViews>
    <sheetView workbookViewId="0">
      <selection activeCell="D348" sqref="D348"/>
    </sheetView>
  </sheetViews>
  <sheetFormatPr baseColWidth="10" defaultColWidth="11.42578125" defaultRowHeight="15" x14ac:dyDescent="0.25"/>
  <cols>
    <col min="1" max="1" width="20.140625" customWidth="1"/>
    <col min="2" max="2" width="12.7109375" customWidth="1"/>
    <col min="3" max="4" width="49.140625" bestFit="1" customWidth="1"/>
    <col min="5" max="5" width="15.5703125" customWidth="1"/>
    <col min="6" max="6" width="13.140625" bestFit="1" customWidth="1"/>
    <col min="7" max="7" width="21.85546875" style="5" customWidth="1"/>
    <col min="8" max="8" width="19.5703125" style="5" customWidth="1"/>
  </cols>
  <sheetData>
    <row r="1" spans="1:8" x14ac:dyDescent="0.25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4" t="s">
        <v>22</v>
      </c>
      <c r="H1" s="4" t="s">
        <v>23</v>
      </c>
    </row>
    <row r="2" spans="1:8" hidden="1" x14ac:dyDescent="0.25">
      <c r="A2" t="s">
        <v>24</v>
      </c>
      <c r="B2">
        <v>202110</v>
      </c>
      <c r="C2" t="s">
        <v>3</v>
      </c>
      <c r="D2" t="s">
        <v>25</v>
      </c>
      <c r="E2">
        <v>37</v>
      </c>
      <c r="F2">
        <v>92233.24</v>
      </c>
    </row>
    <row r="3" spans="1:8" hidden="1" x14ac:dyDescent="0.25">
      <c r="A3" t="s">
        <v>24</v>
      </c>
      <c r="B3">
        <v>202120</v>
      </c>
      <c r="C3" t="s">
        <v>3</v>
      </c>
      <c r="D3" t="s">
        <v>25</v>
      </c>
      <c r="E3">
        <v>28</v>
      </c>
      <c r="F3">
        <v>69231.850000000006</v>
      </c>
    </row>
    <row r="4" spans="1:8" hidden="1" x14ac:dyDescent="0.25">
      <c r="A4" t="s">
        <v>24</v>
      </c>
      <c r="B4">
        <v>202210</v>
      </c>
      <c r="C4" t="s">
        <v>3</v>
      </c>
      <c r="D4" t="s">
        <v>25</v>
      </c>
      <c r="E4">
        <v>67</v>
      </c>
      <c r="F4">
        <v>183574.09</v>
      </c>
      <c r="G4" s="5">
        <f t="shared" ref="G4:H10" si="0">(E4-E2)/E2</f>
        <v>0.81081081081081086</v>
      </c>
      <c r="H4" s="5">
        <f t="shared" si="0"/>
        <v>0.99032463784206204</v>
      </c>
    </row>
    <row r="5" spans="1:8" hidden="1" x14ac:dyDescent="0.25">
      <c r="A5" t="s">
        <v>24</v>
      </c>
      <c r="B5">
        <v>202220</v>
      </c>
      <c r="C5" t="s">
        <v>3</v>
      </c>
      <c r="D5" t="s">
        <v>25</v>
      </c>
      <c r="E5">
        <v>34</v>
      </c>
      <c r="F5">
        <v>88420.260000000009</v>
      </c>
      <c r="G5" s="5">
        <f t="shared" si="0"/>
        <v>0.21428571428571427</v>
      </c>
      <c r="H5" s="5">
        <f t="shared" si="0"/>
        <v>0.27716159542176039</v>
      </c>
    </row>
    <row r="6" spans="1:8" hidden="1" x14ac:dyDescent="0.25">
      <c r="A6" t="s">
        <v>24</v>
      </c>
      <c r="B6">
        <v>202310</v>
      </c>
      <c r="C6" t="s">
        <v>3</v>
      </c>
      <c r="D6" t="s">
        <v>25</v>
      </c>
      <c r="E6">
        <v>88</v>
      </c>
      <c r="F6">
        <v>226437.38999999998</v>
      </c>
      <c r="G6" s="5">
        <f t="shared" si="0"/>
        <v>0.31343283582089554</v>
      </c>
      <c r="H6" s="5">
        <f t="shared" si="0"/>
        <v>0.23349319067848839</v>
      </c>
    </row>
    <row r="7" spans="1:8" hidden="1" x14ac:dyDescent="0.25">
      <c r="A7" t="s">
        <v>24</v>
      </c>
      <c r="B7">
        <v>202320</v>
      </c>
      <c r="C7" t="s">
        <v>3</v>
      </c>
      <c r="D7" t="s">
        <v>25</v>
      </c>
      <c r="E7">
        <v>57</v>
      </c>
      <c r="F7">
        <v>138926.59</v>
      </c>
      <c r="G7" s="5">
        <f t="shared" si="0"/>
        <v>0.67647058823529416</v>
      </c>
      <c r="H7" s="5">
        <f t="shared" si="0"/>
        <v>0.57120766213535201</v>
      </c>
    </row>
    <row r="8" spans="1:8" hidden="1" x14ac:dyDescent="0.25">
      <c r="A8" t="s">
        <v>24</v>
      </c>
      <c r="B8">
        <v>202410</v>
      </c>
      <c r="C8" t="s">
        <v>3</v>
      </c>
      <c r="D8" t="s">
        <v>25</v>
      </c>
      <c r="E8">
        <v>85</v>
      </c>
      <c r="F8">
        <v>204006.38</v>
      </c>
      <c r="G8" s="5">
        <f t="shared" si="0"/>
        <v>-3.4090909090909088E-2</v>
      </c>
      <c r="H8" s="5">
        <f t="shared" si="0"/>
        <v>-9.9060539427697797E-2</v>
      </c>
    </row>
    <row r="9" spans="1:8" hidden="1" x14ac:dyDescent="0.25">
      <c r="A9" t="s">
        <v>24</v>
      </c>
      <c r="B9">
        <v>202420</v>
      </c>
      <c r="C9" t="s">
        <v>3</v>
      </c>
      <c r="D9" t="s">
        <v>25</v>
      </c>
      <c r="E9">
        <v>53</v>
      </c>
      <c r="F9">
        <v>109255.38</v>
      </c>
      <c r="G9" s="5">
        <f t="shared" si="0"/>
        <v>-7.0175438596491224E-2</v>
      </c>
      <c r="H9" s="5">
        <f t="shared" si="0"/>
        <v>-0.21357473756463749</v>
      </c>
    </row>
    <row r="10" spans="1:8" hidden="1" x14ac:dyDescent="0.25">
      <c r="A10" t="s">
        <v>24</v>
      </c>
      <c r="B10" s="2">
        <v>202510</v>
      </c>
      <c r="C10" s="2" t="s">
        <v>3</v>
      </c>
      <c r="D10" s="2" t="s">
        <v>25</v>
      </c>
      <c r="E10" s="2">
        <v>120</v>
      </c>
      <c r="F10" s="2">
        <v>295209.69</v>
      </c>
      <c r="G10" s="6">
        <f t="shared" si="0"/>
        <v>0.41176470588235292</v>
      </c>
      <c r="H10" s="6">
        <f t="shared" si="0"/>
        <v>0.44706106740387236</v>
      </c>
    </row>
    <row r="11" spans="1:8" x14ac:dyDescent="0.25">
      <c r="A11" t="s">
        <v>24</v>
      </c>
      <c r="B11">
        <v>202110</v>
      </c>
      <c r="C11" t="s">
        <v>4</v>
      </c>
      <c r="D11" t="s">
        <v>26</v>
      </c>
      <c r="E11">
        <v>26</v>
      </c>
      <c r="F11">
        <v>65015.21</v>
      </c>
    </row>
    <row r="12" spans="1:8" x14ac:dyDescent="0.25">
      <c r="A12" t="s">
        <v>24</v>
      </c>
      <c r="B12">
        <v>202120</v>
      </c>
      <c r="C12" t="s">
        <v>4</v>
      </c>
      <c r="D12" t="s">
        <v>26</v>
      </c>
      <c r="E12">
        <v>7</v>
      </c>
      <c r="F12">
        <v>19021.47</v>
      </c>
    </row>
    <row r="13" spans="1:8" x14ac:dyDescent="0.25">
      <c r="A13" t="s">
        <v>24</v>
      </c>
      <c r="B13">
        <v>202210</v>
      </c>
      <c r="C13" t="s">
        <v>4</v>
      </c>
      <c r="D13" t="s">
        <v>26</v>
      </c>
      <c r="E13">
        <v>33</v>
      </c>
      <c r="F13">
        <v>82426.8</v>
      </c>
      <c r="G13" s="5">
        <f t="shared" ref="G13:H19" si="1">(E13-E11)/E11</f>
        <v>0.26923076923076922</v>
      </c>
      <c r="H13" s="5">
        <f t="shared" si="1"/>
        <v>0.26780794832470745</v>
      </c>
    </row>
    <row r="14" spans="1:8" x14ac:dyDescent="0.25">
      <c r="A14" t="s">
        <v>24</v>
      </c>
      <c r="B14">
        <v>202220</v>
      </c>
      <c r="C14" t="s">
        <v>4</v>
      </c>
      <c r="D14" t="s">
        <v>26</v>
      </c>
      <c r="E14">
        <v>2</v>
      </c>
      <c r="F14">
        <v>4403.12</v>
      </c>
      <c r="G14" s="5">
        <f t="shared" si="1"/>
        <v>-0.7142857142857143</v>
      </c>
      <c r="H14" s="5">
        <f t="shared" si="1"/>
        <v>-0.76851841629485007</v>
      </c>
    </row>
    <row r="15" spans="1:8" x14ac:dyDescent="0.25">
      <c r="A15" t="s">
        <v>24</v>
      </c>
      <c r="B15">
        <v>202310</v>
      </c>
      <c r="C15" t="s">
        <v>4</v>
      </c>
      <c r="D15" t="s">
        <v>26</v>
      </c>
      <c r="E15">
        <v>32</v>
      </c>
      <c r="F15">
        <v>85221.96</v>
      </c>
      <c r="G15" s="5">
        <f t="shared" si="1"/>
        <v>-3.0303030303030304E-2</v>
      </c>
      <c r="H15" s="5">
        <f t="shared" si="1"/>
        <v>3.3910815414404091E-2</v>
      </c>
    </row>
    <row r="16" spans="1:8" x14ac:dyDescent="0.25">
      <c r="A16" t="s">
        <v>24</v>
      </c>
      <c r="B16">
        <v>202320</v>
      </c>
      <c r="C16" t="s">
        <v>4</v>
      </c>
      <c r="D16" t="s">
        <v>26</v>
      </c>
      <c r="E16">
        <v>25</v>
      </c>
      <c r="F16">
        <v>57403.040000000001</v>
      </c>
      <c r="G16" s="5">
        <f t="shared" si="1"/>
        <v>11.5</v>
      </c>
      <c r="H16" s="5">
        <f t="shared" si="1"/>
        <v>12.036901106488127</v>
      </c>
    </row>
    <row r="17" spans="1:8" x14ac:dyDescent="0.25">
      <c r="A17" t="s">
        <v>24</v>
      </c>
      <c r="B17">
        <v>202410</v>
      </c>
      <c r="C17" t="s">
        <v>4</v>
      </c>
      <c r="D17" t="s">
        <v>26</v>
      </c>
      <c r="E17">
        <v>26</v>
      </c>
      <c r="F17">
        <v>63620.22</v>
      </c>
      <c r="G17" s="5">
        <f t="shared" si="1"/>
        <v>-0.1875</v>
      </c>
      <c r="H17" s="5">
        <f t="shared" si="1"/>
        <v>-0.25347621669344383</v>
      </c>
    </row>
    <row r="18" spans="1:8" x14ac:dyDescent="0.25">
      <c r="A18" t="s">
        <v>24</v>
      </c>
      <c r="B18">
        <v>202420</v>
      </c>
      <c r="C18" t="s">
        <v>4</v>
      </c>
      <c r="D18" t="s">
        <v>26</v>
      </c>
      <c r="E18">
        <v>13</v>
      </c>
      <c r="F18">
        <v>32554.35</v>
      </c>
      <c r="G18" s="5">
        <f t="shared" si="1"/>
        <v>-0.48</v>
      </c>
      <c r="H18" s="5">
        <f t="shared" si="1"/>
        <v>-0.4328810808626164</v>
      </c>
    </row>
    <row r="19" spans="1:8" x14ac:dyDescent="0.25">
      <c r="A19" t="s">
        <v>24</v>
      </c>
      <c r="B19" s="2">
        <v>202510</v>
      </c>
      <c r="C19" s="2" t="s">
        <v>4</v>
      </c>
      <c r="D19" s="2" t="s">
        <v>26</v>
      </c>
      <c r="E19" s="2">
        <v>25</v>
      </c>
      <c r="F19" s="2">
        <v>59665.11</v>
      </c>
      <c r="G19" s="6">
        <f t="shared" si="1"/>
        <v>-3.8461538461538464E-2</v>
      </c>
      <c r="H19" s="6">
        <f t="shared" si="1"/>
        <v>-6.2167499577964372E-2</v>
      </c>
    </row>
    <row r="20" spans="1:8" hidden="1" x14ac:dyDescent="0.25">
      <c r="A20" t="s">
        <v>24</v>
      </c>
      <c r="B20">
        <v>202110</v>
      </c>
      <c r="C20" t="s">
        <v>5</v>
      </c>
      <c r="D20" t="s">
        <v>27</v>
      </c>
      <c r="E20">
        <v>11</v>
      </c>
      <c r="F20">
        <v>25544.86</v>
      </c>
    </row>
    <row r="21" spans="1:8" hidden="1" x14ac:dyDescent="0.25">
      <c r="A21" t="s">
        <v>24</v>
      </c>
      <c r="B21">
        <v>202120</v>
      </c>
      <c r="C21" t="s">
        <v>5</v>
      </c>
      <c r="D21" t="s">
        <v>27</v>
      </c>
      <c r="E21">
        <v>3</v>
      </c>
      <c r="F21">
        <v>6027.02</v>
      </c>
    </row>
    <row r="22" spans="1:8" hidden="1" x14ac:dyDescent="0.25">
      <c r="A22" t="s">
        <v>24</v>
      </c>
      <c r="B22">
        <v>202210</v>
      </c>
      <c r="C22" t="s">
        <v>5</v>
      </c>
      <c r="D22" t="s">
        <v>27</v>
      </c>
      <c r="E22">
        <v>8</v>
      </c>
      <c r="F22">
        <v>9297.4</v>
      </c>
      <c r="G22" s="5">
        <f t="shared" ref="G22:H28" si="2">(E22-E20)/E20</f>
        <v>-0.27272727272727271</v>
      </c>
      <c r="H22" s="5">
        <f t="shared" si="2"/>
        <v>-0.636036368960331</v>
      </c>
    </row>
    <row r="23" spans="1:8" hidden="1" x14ac:dyDescent="0.25">
      <c r="A23" t="s">
        <v>24</v>
      </c>
      <c r="B23">
        <v>202220</v>
      </c>
      <c r="C23" t="s">
        <v>5</v>
      </c>
      <c r="D23" t="s">
        <v>27</v>
      </c>
      <c r="E23">
        <v>16</v>
      </c>
      <c r="F23">
        <v>19235.96</v>
      </c>
      <c r="G23" s="5">
        <f t="shared" si="2"/>
        <v>4.333333333333333</v>
      </c>
      <c r="H23" s="5">
        <f t="shared" si="2"/>
        <v>2.1916204027861195</v>
      </c>
    </row>
    <row r="24" spans="1:8" hidden="1" x14ac:dyDescent="0.25">
      <c r="A24" t="s">
        <v>24</v>
      </c>
      <c r="B24">
        <v>202310</v>
      </c>
      <c r="C24" t="s">
        <v>5</v>
      </c>
      <c r="D24" t="s">
        <v>27</v>
      </c>
      <c r="E24">
        <v>17</v>
      </c>
      <c r="F24">
        <v>19322.55</v>
      </c>
      <c r="G24" s="5">
        <f t="shared" si="2"/>
        <v>1.125</v>
      </c>
      <c r="H24" s="5">
        <f t="shared" si="2"/>
        <v>1.0782745713855486</v>
      </c>
    </row>
    <row r="25" spans="1:8" hidden="1" x14ac:dyDescent="0.25">
      <c r="A25" t="s">
        <v>24</v>
      </c>
      <c r="B25">
        <v>202320</v>
      </c>
      <c r="C25" t="s">
        <v>5</v>
      </c>
      <c r="D25" t="s">
        <v>27</v>
      </c>
      <c r="E25">
        <v>13</v>
      </c>
      <c r="F25">
        <v>12904.4</v>
      </c>
      <c r="G25" s="5">
        <f t="shared" si="2"/>
        <v>-0.1875</v>
      </c>
      <c r="H25" s="5">
        <f t="shared" si="2"/>
        <v>-0.32915227521787316</v>
      </c>
    </row>
    <row r="26" spans="1:8" hidden="1" x14ac:dyDescent="0.25">
      <c r="A26" t="s">
        <v>24</v>
      </c>
      <c r="B26">
        <v>202410</v>
      </c>
      <c r="C26" t="s">
        <v>5</v>
      </c>
      <c r="D26" t="s">
        <v>27</v>
      </c>
      <c r="E26">
        <v>33</v>
      </c>
      <c r="F26">
        <v>30589.35</v>
      </c>
      <c r="G26" s="5">
        <f t="shared" si="2"/>
        <v>0.94117647058823528</v>
      </c>
      <c r="H26" s="5">
        <f t="shared" si="2"/>
        <v>0.58309074112888826</v>
      </c>
    </row>
    <row r="27" spans="1:8" hidden="1" x14ac:dyDescent="0.25">
      <c r="A27" t="s">
        <v>24</v>
      </c>
      <c r="B27">
        <v>202420</v>
      </c>
      <c r="C27" t="s">
        <v>5</v>
      </c>
      <c r="D27" t="s">
        <v>27</v>
      </c>
      <c r="E27">
        <v>11</v>
      </c>
      <c r="F27">
        <v>12025.68</v>
      </c>
      <c r="G27" s="5">
        <f t="shared" si="2"/>
        <v>-0.15384615384615385</v>
      </c>
      <c r="H27" s="5">
        <f t="shared" si="2"/>
        <v>-6.8094603391091357E-2</v>
      </c>
    </row>
    <row r="28" spans="1:8" hidden="1" x14ac:dyDescent="0.25">
      <c r="A28" t="s">
        <v>24</v>
      </c>
      <c r="B28" s="2">
        <v>202510</v>
      </c>
      <c r="C28" s="2" t="s">
        <v>5</v>
      </c>
      <c r="D28" s="2" t="s">
        <v>27</v>
      </c>
      <c r="E28" s="2">
        <v>11</v>
      </c>
      <c r="F28" s="2">
        <v>12845.76</v>
      </c>
      <c r="G28" s="6">
        <f t="shared" si="2"/>
        <v>-0.66666666666666663</v>
      </c>
      <c r="H28" s="6">
        <f t="shared" si="2"/>
        <v>-0.58005776520259489</v>
      </c>
    </row>
    <row r="29" spans="1:8" hidden="1" x14ac:dyDescent="0.25">
      <c r="A29" t="s">
        <v>24</v>
      </c>
      <c r="B29">
        <v>202110</v>
      </c>
      <c r="C29" t="s">
        <v>5</v>
      </c>
      <c r="D29" t="s">
        <v>28</v>
      </c>
      <c r="E29">
        <v>131</v>
      </c>
      <c r="F29">
        <v>301568.82</v>
      </c>
    </row>
    <row r="30" spans="1:8" hidden="1" x14ac:dyDescent="0.25">
      <c r="A30" t="s">
        <v>24</v>
      </c>
      <c r="B30">
        <v>202120</v>
      </c>
      <c r="C30" t="s">
        <v>5</v>
      </c>
      <c r="D30" t="s">
        <v>28</v>
      </c>
      <c r="E30">
        <v>66</v>
      </c>
      <c r="F30">
        <v>155525.89000000001</v>
      </c>
    </row>
    <row r="31" spans="1:8" hidden="1" x14ac:dyDescent="0.25">
      <c r="A31" t="s">
        <v>24</v>
      </c>
      <c r="B31">
        <v>202210</v>
      </c>
      <c r="C31" t="s">
        <v>5</v>
      </c>
      <c r="D31" t="s">
        <v>28</v>
      </c>
      <c r="E31">
        <v>134</v>
      </c>
      <c r="F31">
        <v>316079.23</v>
      </c>
      <c r="G31" s="5">
        <f t="shared" ref="G31:H37" si="3">(E31-E29)/E29</f>
        <v>2.2900763358778626E-2</v>
      </c>
      <c r="H31" s="5">
        <f t="shared" si="3"/>
        <v>4.8116413361301659E-2</v>
      </c>
    </row>
    <row r="32" spans="1:8" hidden="1" x14ac:dyDescent="0.25">
      <c r="A32" t="s">
        <v>24</v>
      </c>
      <c r="B32">
        <v>202220</v>
      </c>
      <c r="C32" t="s">
        <v>5</v>
      </c>
      <c r="D32" t="s">
        <v>28</v>
      </c>
      <c r="E32">
        <v>87</v>
      </c>
      <c r="F32">
        <v>197547.25</v>
      </c>
      <c r="G32" s="5">
        <f t="shared" si="3"/>
        <v>0.31818181818181818</v>
      </c>
      <c r="H32" s="5">
        <f t="shared" si="3"/>
        <v>0.27018884122765657</v>
      </c>
    </row>
    <row r="33" spans="1:8" hidden="1" x14ac:dyDescent="0.25">
      <c r="A33" t="s">
        <v>24</v>
      </c>
      <c r="B33">
        <v>202310</v>
      </c>
      <c r="C33" t="s">
        <v>5</v>
      </c>
      <c r="D33" t="s">
        <v>28</v>
      </c>
      <c r="E33">
        <v>197</v>
      </c>
      <c r="F33">
        <v>484513.3</v>
      </c>
      <c r="G33" s="5">
        <f t="shared" si="3"/>
        <v>0.47014925373134331</v>
      </c>
      <c r="H33" s="5">
        <f t="shared" si="3"/>
        <v>0.53288559960108739</v>
      </c>
    </row>
    <row r="34" spans="1:8" hidden="1" x14ac:dyDescent="0.25">
      <c r="A34" t="s">
        <v>24</v>
      </c>
      <c r="B34">
        <v>202320</v>
      </c>
      <c r="C34" t="s">
        <v>5</v>
      </c>
      <c r="D34" t="s">
        <v>28</v>
      </c>
      <c r="E34">
        <v>129</v>
      </c>
      <c r="F34">
        <v>280716.64</v>
      </c>
      <c r="G34" s="5">
        <f t="shared" si="3"/>
        <v>0.48275862068965519</v>
      </c>
      <c r="H34" s="5">
        <f t="shared" si="3"/>
        <v>0.42101011277048916</v>
      </c>
    </row>
    <row r="35" spans="1:8" hidden="1" x14ac:dyDescent="0.25">
      <c r="A35" t="s">
        <v>24</v>
      </c>
      <c r="B35">
        <v>202410</v>
      </c>
      <c r="C35" t="s">
        <v>5</v>
      </c>
      <c r="D35" t="s">
        <v>28</v>
      </c>
      <c r="E35">
        <v>139</v>
      </c>
      <c r="F35">
        <v>350223.07</v>
      </c>
      <c r="G35" s="5">
        <f t="shared" si="3"/>
        <v>-0.29441624365482233</v>
      </c>
      <c r="H35" s="5">
        <f t="shared" si="3"/>
        <v>-0.27716520888074692</v>
      </c>
    </row>
    <row r="36" spans="1:8" hidden="1" x14ac:dyDescent="0.25">
      <c r="A36" t="s">
        <v>24</v>
      </c>
      <c r="B36">
        <v>202420</v>
      </c>
      <c r="C36" t="s">
        <v>5</v>
      </c>
      <c r="D36" t="s">
        <v>28</v>
      </c>
      <c r="E36">
        <v>81</v>
      </c>
      <c r="F36">
        <v>170570.77</v>
      </c>
      <c r="G36" s="5">
        <f t="shared" si="3"/>
        <v>-0.37209302325581395</v>
      </c>
      <c r="H36" s="5">
        <f t="shared" si="3"/>
        <v>-0.39237385428950711</v>
      </c>
    </row>
    <row r="37" spans="1:8" hidden="1" x14ac:dyDescent="0.25">
      <c r="A37" t="s">
        <v>24</v>
      </c>
      <c r="B37" s="2">
        <v>202510</v>
      </c>
      <c r="C37" s="2" t="s">
        <v>5</v>
      </c>
      <c r="D37" s="2" t="s">
        <v>28</v>
      </c>
      <c r="E37" s="2">
        <v>156</v>
      </c>
      <c r="F37" s="2">
        <v>363698.82</v>
      </c>
      <c r="G37" s="6">
        <f t="shared" si="3"/>
        <v>0.1223021582733813</v>
      </c>
      <c r="H37" s="6">
        <f t="shared" si="3"/>
        <v>3.8477619421244863E-2</v>
      </c>
    </row>
    <row r="38" spans="1:8" hidden="1" x14ac:dyDescent="0.25">
      <c r="A38" t="s">
        <v>24</v>
      </c>
      <c r="B38">
        <v>202110</v>
      </c>
      <c r="C38" t="s">
        <v>6</v>
      </c>
      <c r="D38" t="s">
        <v>29</v>
      </c>
      <c r="E38">
        <v>91</v>
      </c>
      <c r="F38">
        <v>240658.23</v>
      </c>
    </row>
    <row r="39" spans="1:8" hidden="1" x14ac:dyDescent="0.25">
      <c r="A39" t="s">
        <v>24</v>
      </c>
      <c r="B39">
        <v>202120</v>
      </c>
      <c r="C39" t="s">
        <v>6</v>
      </c>
      <c r="D39" t="s">
        <v>29</v>
      </c>
      <c r="E39">
        <v>52</v>
      </c>
      <c r="F39">
        <v>142439.73000000001</v>
      </c>
    </row>
    <row r="40" spans="1:8" hidden="1" x14ac:dyDescent="0.25">
      <c r="A40" t="s">
        <v>24</v>
      </c>
      <c r="B40">
        <v>202210</v>
      </c>
      <c r="C40" t="s">
        <v>6</v>
      </c>
      <c r="D40" t="s">
        <v>29</v>
      </c>
      <c r="E40">
        <v>117</v>
      </c>
      <c r="F40">
        <v>310456.86</v>
      </c>
      <c r="G40" s="5">
        <f t="shared" ref="G40:H46" si="4">(E40-E38)/E38</f>
        <v>0.2857142857142857</v>
      </c>
      <c r="H40" s="5">
        <f t="shared" si="4"/>
        <v>0.29003217550465643</v>
      </c>
    </row>
    <row r="41" spans="1:8" hidden="1" x14ac:dyDescent="0.25">
      <c r="A41" t="s">
        <v>24</v>
      </c>
      <c r="B41">
        <v>202220</v>
      </c>
      <c r="C41" t="s">
        <v>6</v>
      </c>
      <c r="D41" t="s">
        <v>29</v>
      </c>
      <c r="E41">
        <v>55</v>
      </c>
      <c r="F41">
        <v>144581.28</v>
      </c>
      <c r="G41" s="5">
        <f t="shared" si="4"/>
        <v>5.7692307692307696E-2</v>
      </c>
      <c r="H41" s="5">
        <f t="shared" si="4"/>
        <v>1.5034779973255974E-2</v>
      </c>
    </row>
    <row r="42" spans="1:8" hidden="1" x14ac:dyDescent="0.25">
      <c r="A42" t="s">
        <v>24</v>
      </c>
      <c r="B42">
        <v>202310</v>
      </c>
      <c r="C42" t="s">
        <v>6</v>
      </c>
      <c r="D42" t="s">
        <v>29</v>
      </c>
      <c r="E42">
        <v>113</v>
      </c>
      <c r="F42">
        <v>319850.32</v>
      </c>
      <c r="G42" s="5">
        <f t="shared" si="4"/>
        <v>-3.4188034188034191E-2</v>
      </c>
      <c r="H42" s="5">
        <f t="shared" si="4"/>
        <v>3.0256893018888426E-2</v>
      </c>
    </row>
    <row r="43" spans="1:8" hidden="1" x14ac:dyDescent="0.25">
      <c r="A43" t="s">
        <v>24</v>
      </c>
      <c r="B43">
        <v>202320</v>
      </c>
      <c r="C43" t="s">
        <v>6</v>
      </c>
      <c r="D43" t="s">
        <v>29</v>
      </c>
      <c r="E43">
        <v>58</v>
      </c>
      <c r="F43">
        <v>164073.06</v>
      </c>
      <c r="G43" s="5">
        <f t="shared" si="4"/>
        <v>5.4545454545454543E-2</v>
      </c>
      <c r="H43" s="5">
        <f t="shared" si="4"/>
        <v>0.13481537858843134</v>
      </c>
    </row>
    <row r="44" spans="1:8" hidden="1" x14ac:dyDescent="0.25">
      <c r="A44" t="s">
        <v>24</v>
      </c>
      <c r="B44">
        <v>202410</v>
      </c>
      <c r="C44" t="s">
        <v>6</v>
      </c>
      <c r="D44" t="s">
        <v>29</v>
      </c>
      <c r="E44">
        <v>105</v>
      </c>
      <c r="F44">
        <v>284483.82</v>
      </c>
      <c r="G44" s="5">
        <f t="shared" si="4"/>
        <v>-7.0796460176991149E-2</v>
      </c>
      <c r="H44" s="5">
        <f t="shared" si="4"/>
        <v>-0.11057203256823379</v>
      </c>
    </row>
    <row r="45" spans="1:8" hidden="1" x14ac:dyDescent="0.25">
      <c r="A45" t="s">
        <v>24</v>
      </c>
      <c r="B45">
        <v>202420</v>
      </c>
      <c r="C45" t="s">
        <v>6</v>
      </c>
      <c r="D45" t="s">
        <v>29</v>
      </c>
      <c r="E45">
        <v>38</v>
      </c>
      <c r="F45">
        <v>99396.99</v>
      </c>
      <c r="G45" s="5">
        <f t="shared" si="4"/>
        <v>-0.34482758620689657</v>
      </c>
      <c r="H45" s="5">
        <f t="shared" si="4"/>
        <v>-0.39419067335003072</v>
      </c>
    </row>
    <row r="46" spans="1:8" hidden="1" x14ac:dyDescent="0.25">
      <c r="A46" t="s">
        <v>24</v>
      </c>
      <c r="B46" s="2">
        <v>202510</v>
      </c>
      <c r="C46" s="2" t="s">
        <v>6</v>
      </c>
      <c r="D46" s="2" t="s">
        <v>29</v>
      </c>
      <c r="E46" s="2">
        <v>119</v>
      </c>
      <c r="F46" s="2">
        <v>311939.09000000003</v>
      </c>
      <c r="G46" s="6">
        <f t="shared" si="4"/>
        <v>0.13333333333333333</v>
      </c>
      <c r="H46" s="6">
        <f t="shared" si="4"/>
        <v>9.6509073872812934E-2</v>
      </c>
    </row>
    <row r="47" spans="1:8" hidden="1" x14ac:dyDescent="0.25">
      <c r="A47" t="s">
        <v>24</v>
      </c>
      <c r="B47">
        <v>202110</v>
      </c>
      <c r="C47" t="s">
        <v>6</v>
      </c>
      <c r="D47" t="s">
        <v>30</v>
      </c>
      <c r="E47">
        <v>16</v>
      </c>
      <c r="F47">
        <v>44146.45</v>
      </c>
    </row>
    <row r="48" spans="1:8" hidden="1" x14ac:dyDescent="0.25">
      <c r="A48" t="s">
        <v>24</v>
      </c>
      <c r="B48">
        <v>202120</v>
      </c>
      <c r="C48" t="s">
        <v>6</v>
      </c>
      <c r="D48" t="s">
        <v>30</v>
      </c>
      <c r="E48">
        <v>16</v>
      </c>
      <c r="F48">
        <v>46614.61</v>
      </c>
    </row>
    <row r="49" spans="1:8" hidden="1" x14ac:dyDescent="0.25">
      <c r="A49" t="s">
        <v>24</v>
      </c>
      <c r="B49">
        <v>202210</v>
      </c>
      <c r="C49" t="s">
        <v>6</v>
      </c>
      <c r="D49" t="s">
        <v>30</v>
      </c>
      <c r="E49">
        <v>38</v>
      </c>
      <c r="F49">
        <v>110886.67</v>
      </c>
      <c r="G49" s="5">
        <f t="shared" ref="G49:H55" si="5">(E49-E47)/E47</f>
        <v>1.375</v>
      </c>
      <c r="H49" s="5">
        <f t="shared" si="5"/>
        <v>1.5117913218390155</v>
      </c>
    </row>
    <row r="50" spans="1:8" hidden="1" x14ac:dyDescent="0.25">
      <c r="A50" t="s">
        <v>24</v>
      </c>
      <c r="B50">
        <v>202220</v>
      </c>
      <c r="C50" t="s">
        <v>6</v>
      </c>
      <c r="D50" t="s">
        <v>30</v>
      </c>
      <c r="E50">
        <v>21</v>
      </c>
      <c r="F50">
        <v>61569.07</v>
      </c>
      <c r="G50" s="5">
        <f t="shared" si="5"/>
        <v>0.3125</v>
      </c>
      <c r="H50" s="5">
        <f t="shared" si="5"/>
        <v>0.32081057848601541</v>
      </c>
    </row>
    <row r="51" spans="1:8" hidden="1" x14ac:dyDescent="0.25">
      <c r="A51" t="s">
        <v>24</v>
      </c>
      <c r="B51">
        <v>202310</v>
      </c>
      <c r="C51" t="s">
        <v>6</v>
      </c>
      <c r="D51" t="s">
        <v>30</v>
      </c>
      <c r="E51">
        <v>26</v>
      </c>
      <c r="F51">
        <v>77728.81</v>
      </c>
      <c r="G51" s="5">
        <f t="shared" si="5"/>
        <v>-0.31578947368421051</v>
      </c>
      <c r="H51" s="5">
        <f t="shared" si="5"/>
        <v>-0.29902476104657127</v>
      </c>
    </row>
    <row r="52" spans="1:8" hidden="1" x14ac:dyDescent="0.25">
      <c r="A52" t="s">
        <v>24</v>
      </c>
      <c r="B52">
        <v>202320</v>
      </c>
      <c r="C52" t="s">
        <v>6</v>
      </c>
      <c r="D52" t="s">
        <v>30</v>
      </c>
      <c r="E52">
        <v>14</v>
      </c>
      <c r="F52">
        <v>37441.800000000003</v>
      </c>
      <c r="G52" s="5">
        <f t="shared" si="5"/>
        <v>-0.33333333333333331</v>
      </c>
      <c r="H52" s="5">
        <f t="shared" si="5"/>
        <v>-0.39187322465647112</v>
      </c>
    </row>
    <row r="53" spans="1:8" hidden="1" x14ac:dyDescent="0.25">
      <c r="A53" t="s">
        <v>24</v>
      </c>
      <c r="B53">
        <v>202410</v>
      </c>
      <c r="C53" t="s">
        <v>6</v>
      </c>
      <c r="D53" t="s">
        <v>30</v>
      </c>
      <c r="E53">
        <v>40</v>
      </c>
      <c r="F53">
        <v>110173.7</v>
      </c>
      <c r="G53" s="5">
        <f t="shared" si="5"/>
        <v>0.53846153846153844</v>
      </c>
      <c r="H53" s="5">
        <f t="shared" si="5"/>
        <v>0.41741138195734634</v>
      </c>
    </row>
    <row r="54" spans="1:8" hidden="1" x14ac:dyDescent="0.25">
      <c r="A54" t="s">
        <v>24</v>
      </c>
      <c r="B54">
        <v>202420</v>
      </c>
      <c r="C54" t="s">
        <v>6</v>
      </c>
      <c r="D54" t="s">
        <v>30</v>
      </c>
      <c r="E54">
        <v>16</v>
      </c>
      <c r="F54">
        <v>45111.5</v>
      </c>
      <c r="G54" s="5">
        <f t="shared" si="5"/>
        <v>0.14285714285714285</v>
      </c>
      <c r="H54" s="5">
        <f t="shared" si="5"/>
        <v>0.20484325005742235</v>
      </c>
    </row>
    <row r="55" spans="1:8" hidden="1" x14ac:dyDescent="0.25">
      <c r="A55" t="s">
        <v>24</v>
      </c>
      <c r="B55" s="2">
        <v>202510</v>
      </c>
      <c r="C55" s="2" t="s">
        <v>6</v>
      </c>
      <c r="D55" s="2" t="s">
        <v>30</v>
      </c>
      <c r="E55" s="2">
        <v>27</v>
      </c>
      <c r="F55" s="2">
        <v>76339.25</v>
      </c>
      <c r="G55" s="6">
        <f t="shared" si="5"/>
        <v>-0.32500000000000001</v>
      </c>
      <c r="H55" s="6">
        <f t="shared" si="5"/>
        <v>-0.30710096874299397</v>
      </c>
    </row>
    <row r="56" spans="1:8" hidden="1" x14ac:dyDescent="0.25">
      <c r="A56" t="s">
        <v>24</v>
      </c>
      <c r="B56">
        <v>202110</v>
      </c>
      <c r="C56" t="s">
        <v>6</v>
      </c>
      <c r="D56" t="s">
        <v>31</v>
      </c>
      <c r="E56">
        <v>6</v>
      </c>
      <c r="F56">
        <v>15087.34</v>
      </c>
    </row>
    <row r="57" spans="1:8" hidden="1" x14ac:dyDescent="0.25">
      <c r="A57" t="s">
        <v>24</v>
      </c>
      <c r="B57">
        <v>202120</v>
      </c>
      <c r="C57" t="s">
        <v>6</v>
      </c>
      <c r="D57" t="s">
        <v>31</v>
      </c>
      <c r="E57">
        <v>8</v>
      </c>
      <c r="F57">
        <v>17496.669999999998</v>
      </c>
    </row>
    <row r="58" spans="1:8" hidden="1" x14ac:dyDescent="0.25">
      <c r="A58" t="s">
        <v>24</v>
      </c>
      <c r="B58">
        <v>202210</v>
      </c>
      <c r="C58" t="s">
        <v>6</v>
      </c>
      <c r="D58" t="s">
        <v>31</v>
      </c>
      <c r="E58">
        <v>10</v>
      </c>
      <c r="F58">
        <v>28415.99</v>
      </c>
      <c r="G58" s="5">
        <f t="shared" ref="G58:H64" si="6">(E58-E56)/E56</f>
        <v>0.66666666666666663</v>
      </c>
      <c r="H58" s="5">
        <f t="shared" si="6"/>
        <v>0.88343273234380626</v>
      </c>
    </row>
    <row r="59" spans="1:8" hidden="1" x14ac:dyDescent="0.25">
      <c r="A59" t="s">
        <v>24</v>
      </c>
      <c r="B59">
        <v>202220</v>
      </c>
      <c r="C59" t="s">
        <v>6</v>
      </c>
      <c r="D59" t="s">
        <v>31</v>
      </c>
      <c r="E59">
        <v>11</v>
      </c>
      <c r="F59">
        <v>29747.5</v>
      </c>
      <c r="G59" s="5">
        <f t="shared" si="6"/>
        <v>0.375</v>
      </c>
      <c r="H59" s="5">
        <f t="shared" si="6"/>
        <v>0.70018066294900705</v>
      </c>
    </row>
    <row r="60" spans="1:8" hidden="1" x14ac:dyDescent="0.25">
      <c r="A60" t="s">
        <v>24</v>
      </c>
      <c r="B60">
        <v>202310</v>
      </c>
      <c r="C60" t="s">
        <v>6</v>
      </c>
      <c r="D60" t="s">
        <v>31</v>
      </c>
      <c r="E60">
        <v>10</v>
      </c>
      <c r="F60">
        <v>27448</v>
      </c>
      <c r="G60" s="5">
        <f t="shared" si="6"/>
        <v>0</v>
      </c>
      <c r="H60" s="5">
        <f t="shared" si="6"/>
        <v>-3.4064975388856819E-2</v>
      </c>
    </row>
    <row r="61" spans="1:8" hidden="1" x14ac:dyDescent="0.25">
      <c r="A61" t="s">
        <v>24</v>
      </c>
      <c r="B61">
        <v>202320</v>
      </c>
      <c r="C61" t="s">
        <v>6</v>
      </c>
      <c r="D61" t="s">
        <v>31</v>
      </c>
      <c r="E61">
        <v>7</v>
      </c>
      <c r="F61">
        <v>19412.5</v>
      </c>
      <c r="G61" s="5">
        <f t="shared" si="6"/>
        <v>-0.36363636363636365</v>
      </c>
      <c r="H61" s="5">
        <f t="shared" si="6"/>
        <v>-0.34742415329019244</v>
      </c>
    </row>
    <row r="62" spans="1:8" hidden="1" x14ac:dyDescent="0.25">
      <c r="A62" t="s">
        <v>24</v>
      </c>
      <c r="B62">
        <v>202410</v>
      </c>
      <c r="C62" t="s">
        <v>6</v>
      </c>
      <c r="D62" t="s">
        <v>31</v>
      </c>
      <c r="E62">
        <v>1</v>
      </c>
      <c r="F62">
        <v>2379</v>
      </c>
      <c r="G62" s="5">
        <f t="shared" si="6"/>
        <v>-0.9</v>
      </c>
      <c r="H62" s="5">
        <f t="shared" si="6"/>
        <v>-0.91332701836199359</v>
      </c>
    </row>
    <row r="63" spans="1:8" hidden="1" x14ac:dyDescent="0.25">
      <c r="A63" t="s">
        <v>24</v>
      </c>
      <c r="B63">
        <v>202420</v>
      </c>
      <c r="C63" t="s">
        <v>6</v>
      </c>
      <c r="D63" t="s">
        <v>31</v>
      </c>
      <c r="E63">
        <v>1</v>
      </c>
      <c r="F63">
        <v>2649.37</v>
      </c>
      <c r="G63" s="5">
        <f t="shared" si="6"/>
        <v>-0.8571428571428571</v>
      </c>
      <c r="H63" s="5">
        <f t="shared" si="6"/>
        <v>-0.86352247263361237</v>
      </c>
    </row>
    <row r="64" spans="1:8" hidden="1" x14ac:dyDescent="0.25">
      <c r="A64" t="s">
        <v>24</v>
      </c>
      <c r="B64" s="2">
        <v>202510</v>
      </c>
      <c r="C64" s="2" t="s">
        <v>6</v>
      </c>
      <c r="D64" s="2" t="s">
        <v>31</v>
      </c>
      <c r="E64" s="2">
        <v>9</v>
      </c>
      <c r="F64" s="2">
        <v>24980.41</v>
      </c>
      <c r="G64" s="6">
        <f t="shared" si="6"/>
        <v>8</v>
      </c>
      <c r="H64" s="6">
        <f t="shared" si="6"/>
        <v>9.5003825136612026</v>
      </c>
    </row>
    <row r="65" spans="1:8" hidden="1" x14ac:dyDescent="0.25">
      <c r="A65" t="s">
        <v>24</v>
      </c>
      <c r="B65">
        <v>202110</v>
      </c>
      <c r="C65" t="s">
        <v>7</v>
      </c>
      <c r="D65" t="s">
        <v>32</v>
      </c>
      <c r="E65">
        <v>64</v>
      </c>
      <c r="F65">
        <v>166432.84</v>
      </c>
    </row>
    <row r="66" spans="1:8" hidden="1" x14ac:dyDescent="0.25">
      <c r="A66" t="s">
        <v>24</v>
      </c>
      <c r="B66">
        <v>202120</v>
      </c>
      <c r="C66" t="s">
        <v>7</v>
      </c>
      <c r="D66" t="s">
        <v>32</v>
      </c>
      <c r="E66">
        <v>30</v>
      </c>
      <c r="F66">
        <v>72210.070000000007</v>
      </c>
    </row>
    <row r="67" spans="1:8" hidden="1" x14ac:dyDescent="0.25">
      <c r="A67" t="s">
        <v>24</v>
      </c>
      <c r="B67">
        <v>202210</v>
      </c>
      <c r="C67" t="s">
        <v>7</v>
      </c>
      <c r="D67" t="s">
        <v>32</v>
      </c>
      <c r="E67">
        <v>57</v>
      </c>
      <c r="F67">
        <v>142097.48000000001</v>
      </c>
      <c r="G67" s="5">
        <f t="shared" ref="G67:H73" si="7">(E67-E65)/E65</f>
        <v>-0.109375</v>
      </c>
      <c r="H67" s="5">
        <f t="shared" si="7"/>
        <v>-0.14621729701902572</v>
      </c>
    </row>
    <row r="68" spans="1:8" hidden="1" x14ac:dyDescent="0.25">
      <c r="A68" t="s">
        <v>24</v>
      </c>
      <c r="B68">
        <v>202220</v>
      </c>
      <c r="C68" t="s">
        <v>7</v>
      </c>
      <c r="D68" t="s">
        <v>32</v>
      </c>
      <c r="E68">
        <v>42</v>
      </c>
      <c r="F68">
        <v>104077.94</v>
      </c>
      <c r="G68" s="5">
        <f t="shared" si="7"/>
        <v>0.4</v>
      </c>
      <c r="H68" s="5">
        <f t="shared" si="7"/>
        <v>0.44132168823544959</v>
      </c>
    </row>
    <row r="69" spans="1:8" hidden="1" x14ac:dyDescent="0.25">
      <c r="A69" t="s">
        <v>24</v>
      </c>
      <c r="B69">
        <v>202310</v>
      </c>
      <c r="C69" t="s">
        <v>7</v>
      </c>
      <c r="D69" t="s">
        <v>32</v>
      </c>
      <c r="E69">
        <v>65</v>
      </c>
      <c r="F69">
        <v>167534.43</v>
      </c>
      <c r="G69" s="5">
        <f t="shared" si="7"/>
        <v>0.14035087719298245</v>
      </c>
      <c r="H69" s="5">
        <f t="shared" si="7"/>
        <v>0.17901056373413504</v>
      </c>
    </row>
    <row r="70" spans="1:8" hidden="1" x14ac:dyDescent="0.25">
      <c r="A70" t="s">
        <v>24</v>
      </c>
      <c r="B70">
        <v>202320</v>
      </c>
      <c r="C70" t="s">
        <v>7</v>
      </c>
      <c r="D70" t="s">
        <v>32</v>
      </c>
      <c r="E70">
        <v>37</v>
      </c>
      <c r="F70">
        <v>92254.56</v>
      </c>
      <c r="G70" s="5">
        <f t="shared" si="7"/>
        <v>-0.11904761904761904</v>
      </c>
      <c r="H70" s="5">
        <f t="shared" si="7"/>
        <v>-0.11360121078491757</v>
      </c>
    </row>
    <row r="71" spans="1:8" hidden="1" x14ac:dyDescent="0.25">
      <c r="A71" t="s">
        <v>24</v>
      </c>
      <c r="B71">
        <v>202410</v>
      </c>
      <c r="C71" t="s">
        <v>7</v>
      </c>
      <c r="D71" t="s">
        <v>32</v>
      </c>
      <c r="E71">
        <v>49</v>
      </c>
      <c r="F71">
        <v>124108.42</v>
      </c>
      <c r="G71" s="5">
        <f t="shared" si="7"/>
        <v>-0.24615384615384617</v>
      </c>
      <c r="H71" s="5">
        <f t="shared" si="7"/>
        <v>-0.25920648072160452</v>
      </c>
    </row>
    <row r="72" spans="1:8" hidden="1" x14ac:dyDescent="0.25">
      <c r="A72" t="s">
        <v>24</v>
      </c>
      <c r="B72">
        <v>202420</v>
      </c>
      <c r="C72" t="s">
        <v>7</v>
      </c>
      <c r="D72" t="s">
        <v>32</v>
      </c>
      <c r="E72">
        <v>24</v>
      </c>
      <c r="F72">
        <v>53203.19</v>
      </c>
      <c r="G72" s="5">
        <f t="shared" si="7"/>
        <v>-0.35135135135135137</v>
      </c>
      <c r="H72" s="5">
        <f t="shared" si="7"/>
        <v>-0.42330015990537484</v>
      </c>
    </row>
    <row r="73" spans="1:8" hidden="1" x14ac:dyDescent="0.25">
      <c r="A73" t="s">
        <v>24</v>
      </c>
      <c r="B73" s="2">
        <v>202510</v>
      </c>
      <c r="C73" s="2" t="s">
        <v>7</v>
      </c>
      <c r="D73" s="2" t="s">
        <v>33</v>
      </c>
      <c r="E73" s="2">
        <v>69</v>
      </c>
      <c r="F73" s="2">
        <v>166233.38</v>
      </c>
      <c r="G73" s="6">
        <f t="shared" si="7"/>
        <v>0.40816326530612246</v>
      </c>
      <c r="H73" s="6">
        <f t="shared" si="7"/>
        <v>0.33942064527128785</v>
      </c>
    </row>
    <row r="74" spans="1:8" hidden="1" x14ac:dyDescent="0.25">
      <c r="A74" t="s">
        <v>24</v>
      </c>
      <c r="B74" s="3">
        <v>202510</v>
      </c>
      <c r="C74" s="3" t="s">
        <v>7</v>
      </c>
      <c r="D74" s="3" t="s">
        <v>34</v>
      </c>
      <c r="E74" s="3">
        <v>8</v>
      </c>
      <c r="F74" s="3">
        <v>20662.48</v>
      </c>
      <c r="G74" s="6"/>
      <c r="H74" s="6"/>
    </row>
    <row r="75" spans="1:8" hidden="1" x14ac:dyDescent="0.25">
      <c r="A75" t="s">
        <v>24</v>
      </c>
      <c r="B75">
        <v>202110</v>
      </c>
      <c r="C75" t="s">
        <v>7</v>
      </c>
      <c r="D75" t="s">
        <v>35</v>
      </c>
      <c r="E75">
        <v>12</v>
      </c>
      <c r="F75">
        <v>23133.97</v>
      </c>
    </row>
    <row r="76" spans="1:8" hidden="1" x14ac:dyDescent="0.25">
      <c r="A76" t="s">
        <v>24</v>
      </c>
      <c r="B76">
        <v>202120</v>
      </c>
      <c r="C76" t="s">
        <v>7</v>
      </c>
      <c r="D76" t="s">
        <v>35</v>
      </c>
      <c r="E76">
        <v>11</v>
      </c>
      <c r="F76">
        <v>24021.23</v>
      </c>
    </row>
    <row r="77" spans="1:8" hidden="1" x14ac:dyDescent="0.25">
      <c r="A77" t="s">
        <v>24</v>
      </c>
      <c r="B77">
        <v>202210</v>
      </c>
      <c r="C77" t="s">
        <v>7</v>
      </c>
      <c r="D77" t="s">
        <v>35</v>
      </c>
      <c r="E77">
        <v>20</v>
      </c>
      <c r="F77">
        <v>44230.84</v>
      </c>
      <c r="G77" s="5">
        <f t="shared" ref="G77:H83" si="8">(E77-E75)/E75</f>
        <v>0.66666666666666663</v>
      </c>
      <c r="H77" s="5">
        <f t="shared" si="8"/>
        <v>0.91194334565143786</v>
      </c>
    </row>
    <row r="78" spans="1:8" hidden="1" x14ac:dyDescent="0.25">
      <c r="A78" t="s">
        <v>24</v>
      </c>
      <c r="B78">
        <v>202220</v>
      </c>
      <c r="C78" t="s">
        <v>7</v>
      </c>
      <c r="D78" t="s">
        <v>35</v>
      </c>
      <c r="E78">
        <v>11</v>
      </c>
      <c r="F78">
        <v>25122.240000000002</v>
      </c>
      <c r="G78" s="5">
        <f t="shared" si="8"/>
        <v>0</v>
      </c>
      <c r="H78" s="5">
        <f t="shared" si="8"/>
        <v>4.5834871902895979E-2</v>
      </c>
    </row>
    <row r="79" spans="1:8" hidden="1" x14ac:dyDescent="0.25">
      <c r="A79" t="s">
        <v>24</v>
      </c>
      <c r="B79">
        <v>202310</v>
      </c>
      <c r="C79" t="s">
        <v>7</v>
      </c>
      <c r="D79" t="s">
        <v>35</v>
      </c>
      <c r="E79">
        <v>21</v>
      </c>
      <c r="F79">
        <v>48663.16</v>
      </c>
      <c r="G79" s="5">
        <f t="shared" si="8"/>
        <v>0.05</v>
      </c>
      <c r="H79" s="5">
        <f t="shared" si="8"/>
        <v>0.10020881357894192</v>
      </c>
    </row>
    <row r="80" spans="1:8" hidden="1" x14ac:dyDescent="0.25">
      <c r="A80" t="s">
        <v>24</v>
      </c>
      <c r="B80">
        <v>202320</v>
      </c>
      <c r="C80" t="s">
        <v>7</v>
      </c>
      <c r="D80" t="s">
        <v>35</v>
      </c>
      <c r="E80">
        <v>16</v>
      </c>
      <c r="F80">
        <v>39900.120000000003</v>
      </c>
      <c r="G80" s="5">
        <f t="shared" si="8"/>
        <v>0.45454545454545453</v>
      </c>
      <c r="H80" s="5">
        <f t="shared" si="8"/>
        <v>0.58823894684550426</v>
      </c>
    </row>
    <row r="81" spans="1:8" hidden="1" x14ac:dyDescent="0.25">
      <c r="A81" t="s">
        <v>24</v>
      </c>
      <c r="B81">
        <v>202410</v>
      </c>
      <c r="C81" t="s">
        <v>7</v>
      </c>
      <c r="D81" t="s">
        <v>35</v>
      </c>
      <c r="E81">
        <v>25</v>
      </c>
      <c r="F81">
        <v>56982.3</v>
      </c>
      <c r="G81" s="5">
        <f t="shared" si="8"/>
        <v>0.19047619047619047</v>
      </c>
      <c r="H81" s="5">
        <f t="shared" si="8"/>
        <v>0.17095355089969494</v>
      </c>
    </row>
    <row r="82" spans="1:8" hidden="1" x14ac:dyDescent="0.25">
      <c r="A82" t="s">
        <v>24</v>
      </c>
      <c r="B82">
        <v>202420</v>
      </c>
      <c r="C82" t="s">
        <v>7</v>
      </c>
      <c r="D82" t="s">
        <v>35</v>
      </c>
      <c r="E82">
        <v>10</v>
      </c>
      <c r="F82">
        <v>21520.44</v>
      </c>
      <c r="G82" s="5">
        <f t="shared" si="8"/>
        <v>-0.375</v>
      </c>
      <c r="H82" s="5">
        <f t="shared" si="8"/>
        <v>-0.4606422236324102</v>
      </c>
    </row>
    <row r="83" spans="1:8" hidden="1" x14ac:dyDescent="0.25">
      <c r="A83" t="s">
        <v>24</v>
      </c>
      <c r="B83" s="2">
        <v>202510</v>
      </c>
      <c r="C83" s="2" t="s">
        <v>7</v>
      </c>
      <c r="D83" s="2" t="s">
        <v>35</v>
      </c>
      <c r="E83" s="2">
        <v>16</v>
      </c>
      <c r="F83" s="2">
        <v>36242.07</v>
      </c>
      <c r="G83" s="6">
        <f t="shared" si="8"/>
        <v>-0.36</v>
      </c>
      <c r="H83" s="6">
        <f t="shared" si="8"/>
        <v>-0.3639767085568677</v>
      </c>
    </row>
    <row r="84" spans="1:8" hidden="1" x14ac:dyDescent="0.25">
      <c r="A84" t="s">
        <v>24</v>
      </c>
      <c r="B84">
        <v>202110</v>
      </c>
      <c r="C84" t="s">
        <v>7</v>
      </c>
      <c r="D84" t="s">
        <v>36</v>
      </c>
      <c r="E84">
        <v>19</v>
      </c>
      <c r="F84">
        <v>48822.27</v>
      </c>
    </row>
    <row r="85" spans="1:8" hidden="1" x14ac:dyDescent="0.25">
      <c r="A85" t="s">
        <v>24</v>
      </c>
      <c r="B85">
        <v>202120</v>
      </c>
      <c r="C85" t="s">
        <v>7</v>
      </c>
      <c r="D85" t="s">
        <v>36</v>
      </c>
      <c r="E85">
        <v>15</v>
      </c>
      <c r="F85">
        <v>38413.589999999997</v>
      </c>
    </row>
    <row r="86" spans="1:8" hidden="1" x14ac:dyDescent="0.25">
      <c r="A86" t="s">
        <v>24</v>
      </c>
      <c r="B86">
        <v>202210</v>
      </c>
      <c r="C86" t="s">
        <v>7</v>
      </c>
      <c r="D86" t="s">
        <v>36</v>
      </c>
      <c r="E86">
        <v>26</v>
      </c>
      <c r="F86">
        <v>65917.61</v>
      </c>
      <c r="G86" s="5">
        <f t="shared" ref="G86:H92" si="9">(E86-E84)/E84</f>
        <v>0.36842105263157893</v>
      </c>
      <c r="H86" s="5">
        <f t="shared" si="9"/>
        <v>0.35015455037219706</v>
      </c>
    </row>
    <row r="87" spans="1:8" hidden="1" x14ac:dyDescent="0.25">
      <c r="A87" t="s">
        <v>24</v>
      </c>
      <c r="B87">
        <v>202220</v>
      </c>
      <c r="C87" t="s">
        <v>7</v>
      </c>
      <c r="D87" t="s">
        <v>36</v>
      </c>
      <c r="E87">
        <v>20</v>
      </c>
      <c r="F87">
        <v>50676.2</v>
      </c>
      <c r="G87" s="5">
        <f t="shared" si="9"/>
        <v>0.33333333333333331</v>
      </c>
      <c r="H87" s="5">
        <f t="shared" si="9"/>
        <v>0.31922582606832639</v>
      </c>
    </row>
    <row r="88" spans="1:8" hidden="1" x14ac:dyDescent="0.25">
      <c r="A88" t="s">
        <v>24</v>
      </c>
      <c r="B88">
        <v>202310</v>
      </c>
      <c r="C88" t="s">
        <v>7</v>
      </c>
      <c r="D88" t="s">
        <v>36</v>
      </c>
      <c r="E88">
        <v>30</v>
      </c>
      <c r="F88">
        <v>78829.14</v>
      </c>
      <c r="G88" s="5">
        <f t="shared" si="9"/>
        <v>0.15384615384615385</v>
      </c>
      <c r="H88" s="5">
        <f t="shared" si="9"/>
        <v>0.19587375816568589</v>
      </c>
    </row>
    <row r="89" spans="1:8" hidden="1" x14ac:dyDescent="0.25">
      <c r="A89" t="s">
        <v>24</v>
      </c>
      <c r="B89">
        <v>202320</v>
      </c>
      <c r="C89" t="s">
        <v>7</v>
      </c>
      <c r="D89" t="s">
        <v>36</v>
      </c>
      <c r="E89">
        <v>11</v>
      </c>
      <c r="F89">
        <v>30085.47</v>
      </c>
      <c r="G89" s="5">
        <f t="shared" si="9"/>
        <v>-0.45</v>
      </c>
      <c r="H89" s="5">
        <f t="shared" si="9"/>
        <v>-0.40631953461388182</v>
      </c>
    </row>
    <row r="90" spans="1:8" hidden="1" x14ac:dyDescent="0.25">
      <c r="A90" t="s">
        <v>24</v>
      </c>
      <c r="B90">
        <v>202410</v>
      </c>
      <c r="C90" t="s">
        <v>7</v>
      </c>
      <c r="D90" t="s">
        <v>36</v>
      </c>
      <c r="E90">
        <v>39</v>
      </c>
      <c r="F90">
        <v>98180.81</v>
      </c>
      <c r="G90" s="5">
        <f t="shared" si="9"/>
        <v>0.3</v>
      </c>
      <c r="H90" s="5">
        <f t="shared" si="9"/>
        <v>0.24548878752197473</v>
      </c>
    </row>
    <row r="91" spans="1:8" hidden="1" x14ac:dyDescent="0.25">
      <c r="A91" t="s">
        <v>24</v>
      </c>
      <c r="B91">
        <v>202420</v>
      </c>
      <c r="C91" t="s">
        <v>7</v>
      </c>
      <c r="D91" t="s">
        <v>36</v>
      </c>
      <c r="E91">
        <v>8</v>
      </c>
      <c r="F91">
        <v>18109.86</v>
      </c>
      <c r="G91" s="5">
        <f t="shared" si="9"/>
        <v>-0.27272727272727271</v>
      </c>
      <c r="H91" s="5">
        <f t="shared" si="9"/>
        <v>-0.39805294715355949</v>
      </c>
    </row>
    <row r="92" spans="1:8" hidden="1" x14ac:dyDescent="0.25">
      <c r="A92" t="s">
        <v>24</v>
      </c>
      <c r="B92" s="2">
        <v>202510</v>
      </c>
      <c r="C92" s="2" t="s">
        <v>7</v>
      </c>
      <c r="D92" s="2" t="s">
        <v>36</v>
      </c>
      <c r="E92" s="2">
        <v>32</v>
      </c>
      <c r="F92" s="2">
        <v>84443.66</v>
      </c>
      <c r="G92" s="6">
        <f t="shared" si="9"/>
        <v>-0.17948717948717949</v>
      </c>
      <c r="H92" s="6">
        <f t="shared" si="9"/>
        <v>-0.13991685340546686</v>
      </c>
    </row>
    <row r="93" spans="1:8" hidden="1" x14ac:dyDescent="0.25">
      <c r="A93" t="s">
        <v>24</v>
      </c>
      <c r="B93">
        <v>202110</v>
      </c>
      <c r="C93" t="s">
        <v>7</v>
      </c>
      <c r="D93" t="s">
        <v>37</v>
      </c>
      <c r="E93">
        <v>36</v>
      </c>
      <c r="F93">
        <v>86444.09</v>
      </c>
    </row>
    <row r="94" spans="1:8" hidden="1" x14ac:dyDescent="0.25">
      <c r="A94" t="s">
        <v>24</v>
      </c>
      <c r="B94">
        <v>202120</v>
      </c>
      <c r="C94" t="s">
        <v>7</v>
      </c>
      <c r="D94" t="s">
        <v>37</v>
      </c>
      <c r="E94">
        <v>23</v>
      </c>
      <c r="F94">
        <v>51082.64</v>
      </c>
    </row>
    <row r="95" spans="1:8" hidden="1" x14ac:dyDescent="0.25">
      <c r="A95" t="s">
        <v>24</v>
      </c>
      <c r="B95">
        <v>202210</v>
      </c>
      <c r="C95" t="s">
        <v>7</v>
      </c>
      <c r="D95" t="s">
        <v>37</v>
      </c>
      <c r="E95">
        <v>64</v>
      </c>
      <c r="F95">
        <v>152382.75</v>
      </c>
      <c r="G95" s="5">
        <f t="shared" ref="G95:H101" si="10">(E95-E93)/E93</f>
        <v>0.77777777777777779</v>
      </c>
      <c r="H95" s="5">
        <f t="shared" si="10"/>
        <v>0.76278968290371274</v>
      </c>
    </row>
    <row r="96" spans="1:8" hidden="1" x14ac:dyDescent="0.25">
      <c r="A96" t="s">
        <v>24</v>
      </c>
      <c r="B96">
        <v>202220</v>
      </c>
      <c r="C96" t="s">
        <v>7</v>
      </c>
      <c r="D96" t="s">
        <v>37</v>
      </c>
      <c r="E96">
        <v>51</v>
      </c>
      <c r="F96">
        <v>115033.04</v>
      </c>
      <c r="G96" s="5">
        <f t="shared" si="10"/>
        <v>1.2173913043478262</v>
      </c>
      <c r="H96" s="5">
        <f t="shared" si="10"/>
        <v>1.2519008414600341</v>
      </c>
    </row>
    <row r="97" spans="1:8" hidden="1" x14ac:dyDescent="0.25">
      <c r="A97" t="s">
        <v>24</v>
      </c>
      <c r="B97">
        <v>202310</v>
      </c>
      <c r="C97" t="s">
        <v>7</v>
      </c>
      <c r="D97" t="s">
        <v>37</v>
      </c>
      <c r="E97">
        <v>68</v>
      </c>
      <c r="F97">
        <v>172973.34</v>
      </c>
      <c r="G97" s="5">
        <f t="shared" si="10"/>
        <v>6.25E-2</v>
      </c>
      <c r="H97" s="5">
        <f t="shared" si="10"/>
        <v>0.13512415283225954</v>
      </c>
    </row>
    <row r="98" spans="1:8" hidden="1" x14ac:dyDescent="0.25">
      <c r="A98" t="s">
        <v>24</v>
      </c>
      <c r="B98">
        <v>202320</v>
      </c>
      <c r="C98" t="s">
        <v>7</v>
      </c>
      <c r="D98" t="s">
        <v>37</v>
      </c>
      <c r="E98">
        <v>55</v>
      </c>
      <c r="F98">
        <v>108337.72</v>
      </c>
      <c r="G98" s="5">
        <f t="shared" si="10"/>
        <v>7.8431372549019607E-2</v>
      </c>
      <c r="H98" s="5">
        <f t="shared" si="10"/>
        <v>-5.8203451808280411E-2</v>
      </c>
    </row>
    <row r="99" spans="1:8" hidden="1" x14ac:dyDescent="0.25">
      <c r="A99" t="s">
        <v>24</v>
      </c>
      <c r="B99">
        <v>202410</v>
      </c>
      <c r="C99" t="s">
        <v>7</v>
      </c>
      <c r="D99" t="s">
        <v>37</v>
      </c>
      <c r="E99">
        <v>88</v>
      </c>
      <c r="F99">
        <v>198327.57</v>
      </c>
      <c r="G99" s="5">
        <f t="shared" si="10"/>
        <v>0.29411764705882354</v>
      </c>
      <c r="H99" s="5">
        <f t="shared" si="10"/>
        <v>0.14657883116554268</v>
      </c>
    </row>
    <row r="100" spans="1:8" hidden="1" x14ac:dyDescent="0.25">
      <c r="A100" t="s">
        <v>24</v>
      </c>
      <c r="B100">
        <v>202420</v>
      </c>
      <c r="C100" t="s">
        <v>7</v>
      </c>
      <c r="D100" t="s">
        <v>37</v>
      </c>
      <c r="E100">
        <v>44</v>
      </c>
      <c r="F100">
        <v>94447.41</v>
      </c>
      <c r="G100" s="5">
        <f t="shared" si="10"/>
        <v>-0.2</v>
      </c>
      <c r="H100" s="5">
        <f t="shared" si="10"/>
        <v>-0.12821305451139267</v>
      </c>
    </row>
    <row r="101" spans="1:8" hidden="1" x14ac:dyDescent="0.25">
      <c r="A101" t="s">
        <v>24</v>
      </c>
      <c r="B101" s="2">
        <v>202510</v>
      </c>
      <c r="C101" s="2" t="s">
        <v>7</v>
      </c>
      <c r="D101" s="2" t="s">
        <v>37</v>
      </c>
      <c r="E101" s="2">
        <v>71</v>
      </c>
      <c r="F101" s="2">
        <v>159130.68</v>
      </c>
      <c r="G101" s="6">
        <f t="shared" si="10"/>
        <v>-0.19318181818181818</v>
      </c>
      <c r="H101" s="6">
        <f t="shared" si="10"/>
        <v>-0.19763712125348992</v>
      </c>
    </row>
    <row r="102" spans="1:8" hidden="1" x14ac:dyDescent="0.25">
      <c r="A102" t="s">
        <v>24</v>
      </c>
      <c r="B102">
        <v>202110</v>
      </c>
      <c r="C102" t="s">
        <v>7</v>
      </c>
      <c r="D102" t="s">
        <v>38</v>
      </c>
      <c r="E102">
        <v>19</v>
      </c>
      <c r="F102">
        <v>57758.52</v>
      </c>
    </row>
    <row r="103" spans="1:8" hidden="1" x14ac:dyDescent="0.25">
      <c r="A103" t="s">
        <v>24</v>
      </c>
      <c r="B103">
        <v>202120</v>
      </c>
      <c r="C103" t="s">
        <v>7</v>
      </c>
      <c r="D103" t="s">
        <v>38</v>
      </c>
      <c r="E103">
        <v>5</v>
      </c>
      <c r="F103">
        <v>15149.8</v>
      </c>
    </row>
    <row r="104" spans="1:8" hidden="1" x14ac:dyDescent="0.25">
      <c r="A104" t="s">
        <v>24</v>
      </c>
      <c r="B104">
        <v>202210</v>
      </c>
      <c r="C104" t="s">
        <v>7</v>
      </c>
      <c r="D104" t="s">
        <v>38</v>
      </c>
      <c r="E104">
        <v>13</v>
      </c>
      <c r="F104">
        <v>36410.9</v>
      </c>
      <c r="G104" s="5">
        <f t="shared" ref="G104:H110" si="11">(E104-E102)/E102</f>
        <v>-0.31578947368421051</v>
      </c>
      <c r="H104" s="5">
        <f t="shared" si="11"/>
        <v>-0.36960122939438195</v>
      </c>
    </row>
    <row r="105" spans="1:8" hidden="1" x14ac:dyDescent="0.25">
      <c r="A105" t="s">
        <v>24</v>
      </c>
      <c r="B105">
        <v>202220</v>
      </c>
      <c r="C105" t="s">
        <v>7</v>
      </c>
      <c r="D105" t="s">
        <v>38</v>
      </c>
      <c r="E105">
        <v>8</v>
      </c>
      <c r="F105">
        <v>21588.65</v>
      </c>
      <c r="G105" s="5">
        <f t="shared" si="11"/>
        <v>0.6</v>
      </c>
      <c r="H105" s="5">
        <f t="shared" si="11"/>
        <v>0.42501221138232864</v>
      </c>
    </row>
    <row r="106" spans="1:8" hidden="1" x14ac:dyDescent="0.25">
      <c r="A106" t="s">
        <v>24</v>
      </c>
      <c r="B106">
        <v>202310</v>
      </c>
      <c r="C106" t="s">
        <v>7</v>
      </c>
      <c r="D106" t="s">
        <v>38</v>
      </c>
      <c r="E106">
        <v>16</v>
      </c>
      <c r="F106">
        <v>50972.14</v>
      </c>
      <c r="G106" s="5">
        <f t="shared" si="11"/>
        <v>0.23076923076923078</v>
      </c>
      <c r="H106" s="5">
        <f t="shared" si="11"/>
        <v>0.39991431137379185</v>
      </c>
    </row>
    <row r="107" spans="1:8" hidden="1" x14ac:dyDescent="0.25">
      <c r="A107" t="s">
        <v>24</v>
      </c>
      <c r="B107">
        <v>202320</v>
      </c>
      <c r="C107" t="s">
        <v>7</v>
      </c>
      <c r="D107" t="s">
        <v>38</v>
      </c>
      <c r="E107">
        <v>7</v>
      </c>
      <c r="F107">
        <v>21223.74</v>
      </c>
      <c r="G107" s="5">
        <f t="shared" si="11"/>
        <v>-0.125</v>
      </c>
      <c r="H107" s="5">
        <f t="shared" si="11"/>
        <v>-1.6902863310118966E-2</v>
      </c>
    </row>
    <row r="108" spans="1:8" hidden="1" x14ac:dyDescent="0.25">
      <c r="A108" t="s">
        <v>24</v>
      </c>
      <c r="B108">
        <v>202410</v>
      </c>
      <c r="C108" t="s">
        <v>7</v>
      </c>
      <c r="D108" t="s">
        <v>38</v>
      </c>
      <c r="E108">
        <v>24</v>
      </c>
      <c r="F108">
        <v>70806.570000000007</v>
      </c>
      <c r="G108" s="5">
        <f t="shared" si="11"/>
        <v>0.5</v>
      </c>
      <c r="H108" s="5">
        <f t="shared" si="11"/>
        <v>0.38912296011115105</v>
      </c>
    </row>
    <row r="109" spans="1:8" hidden="1" x14ac:dyDescent="0.25">
      <c r="A109" t="s">
        <v>24</v>
      </c>
      <c r="B109">
        <v>202420</v>
      </c>
      <c r="C109" t="s">
        <v>7</v>
      </c>
      <c r="D109" t="s">
        <v>38</v>
      </c>
      <c r="E109">
        <v>10</v>
      </c>
      <c r="F109">
        <v>27465.489999999998</v>
      </c>
      <c r="G109" s="5">
        <f t="shared" si="11"/>
        <v>0.42857142857142855</v>
      </c>
      <c r="H109" s="5">
        <f t="shared" si="11"/>
        <v>0.29409284131825947</v>
      </c>
    </row>
    <row r="110" spans="1:8" hidden="1" x14ac:dyDescent="0.25">
      <c r="A110" t="s">
        <v>24</v>
      </c>
      <c r="B110" s="2">
        <v>202510</v>
      </c>
      <c r="C110" s="2" t="s">
        <v>7</v>
      </c>
      <c r="D110" s="2" t="s">
        <v>38</v>
      </c>
      <c r="E110" s="2">
        <v>13</v>
      </c>
      <c r="F110" s="2">
        <v>38384.5</v>
      </c>
      <c r="G110" s="6">
        <f t="shared" si="11"/>
        <v>-0.45833333333333331</v>
      </c>
      <c r="H110" s="6">
        <f t="shared" si="11"/>
        <v>-0.45789635057876699</v>
      </c>
    </row>
    <row r="111" spans="1:8" hidden="1" x14ac:dyDescent="0.25">
      <c r="A111" t="s">
        <v>24</v>
      </c>
      <c r="B111">
        <v>202210</v>
      </c>
      <c r="C111" t="s">
        <v>7</v>
      </c>
      <c r="D111" t="s">
        <v>39</v>
      </c>
      <c r="E111">
        <v>2</v>
      </c>
      <c r="F111">
        <v>5489.9</v>
      </c>
    </row>
    <row r="112" spans="1:8" hidden="1" x14ac:dyDescent="0.25">
      <c r="A112" t="s">
        <v>24</v>
      </c>
      <c r="B112">
        <v>202220</v>
      </c>
      <c r="C112" t="s">
        <v>7</v>
      </c>
      <c r="D112" t="s">
        <v>39</v>
      </c>
      <c r="E112">
        <v>13</v>
      </c>
      <c r="F112">
        <v>32221.07</v>
      </c>
    </row>
    <row r="113" spans="1:8" hidden="1" x14ac:dyDescent="0.25">
      <c r="A113" t="s">
        <v>24</v>
      </c>
      <c r="B113">
        <v>202310</v>
      </c>
      <c r="C113" t="s">
        <v>7</v>
      </c>
      <c r="D113" t="s">
        <v>39</v>
      </c>
      <c r="E113">
        <v>36</v>
      </c>
      <c r="F113">
        <v>93999.27</v>
      </c>
      <c r="G113" s="5">
        <f t="shared" ref="G113:H117" si="12">(E113-E111)/E111</f>
        <v>17</v>
      </c>
      <c r="H113" s="5">
        <f t="shared" si="12"/>
        <v>16.122218983952351</v>
      </c>
    </row>
    <row r="114" spans="1:8" hidden="1" x14ac:dyDescent="0.25">
      <c r="A114" t="s">
        <v>24</v>
      </c>
      <c r="B114">
        <v>202320</v>
      </c>
      <c r="C114" t="s">
        <v>7</v>
      </c>
      <c r="D114" t="s">
        <v>39</v>
      </c>
      <c r="E114">
        <v>12</v>
      </c>
      <c r="F114">
        <v>31183.22</v>
      </c>
      <c r="G114" s="5">
        <f t="shared" si="12"/>
        <v>-7.6923076923076927E-2</v>
      </c>
      <c r="H114" s="5">
        <f t="shared" si="12"/>
        <v>-3.2210289726567073E-2</v>
      </c>
    </row>
    <row r="115" spans="1:8" hidden="1" x14ac:dyDescent="0.25">
      <c r="A115" t="s">
        <v>24</v>
      </c>
      <c r="B115">
        <v>202410</v>
      </c>
      <c r="C115" t="s">
        <v>7</v>
      </c>
      <c r="D115" t="s">
        <v>39</v>
      </c>
      <c r="E115">
        <v>31</v>
      </c>
      <c r="F115">
        <v>79278.75</v>
      </c>
      <c r="G115" s="5">
        <f t="shared" si="12"/>
        <v>-0.1388888888888889</v>
      </c>
      <c r="H115" s="5">
        <f t="shared" si="12"/>
        <v>-0.15660249276403959</v>
      </c>
    </row>
    <row r="116" spans="1:8" hidden="1" x14ac:dyDescent="0.25">
      <c r="A116" t="s">
        <v>24</v>
      </c>
      <c r="B116">
        <v>202420</v>
      </c>
      <c r="C116" t="s">
        <v>7</v>
      </c>
      <c r="D116" t="s">
        <v>39</v>
      </c>
      <c r="E116">
        <v>14</v>
      </c>
      <c r="F116">
        <v>33083.81</v>
      </c>
      <c r="G116" s="5">
        <f t="shared" si="12"/>
        <v>0.16666666666666666</v>
      </c>
      <c r="H116" s="5">
        <f t="shared" si="12"/>
        <v>6.0949125843963399E-2</v>
      </c>
    </row>
    <row r="117" spans="1:8" hidden="1" x14ac:dyDescent="0.25">
      <c r="A117" t="s">
        <v>24</v>
      </c>
      <c r="B117" s="2">
        <v>202510</v>
      </c>
      <c r="C117" s="2" t="s">
        <v>7</v>
      </c>
      <c r="D117" s="2" t="s">
        <v>39</v>
      </c>
      <c r="E117" s="2">
        <v>34</v>
      </c>
      <c r="F117" s="2">
        <v>89100.5</v>
      </c>
      <c r="G117" s="6">
        <f t="shared" si="12"/>
        <v>9.6774193548387094E-2</v>
      </c>
      <c r="H117" s="6">
        <f t="shared" si="12"/>
        <v>0.1238888100531353</v>
      </c>
    </row>
    <row r="118" spans="1:8" hidden="1" x14ac:dyDescent="0.25">
      <c r="A118" t="s">
        <v>24</v>
      </c>
      <c r="B118">
        <v>202110</v>
      </c>
      <c r="C118" t="s">
        <v>7</v>
      </c>
      <c r="D118" t="s">
        <v>40</v>
      </c>
      <c r="E118">
        <v>128</v>
      </c>
      <c r="F118">
        <v>323756.26</v>
      </c>
    </row>
    <row r="119" spans="1:8" hidden="1" x14ac:dyDescent="0.25">
      <c r="A119" t="s">
        <v>24</v>
      </c>
      <c r="B119">
        <v>202120</v>
      </c>
      <c r="C119" t="s">
        <v>7</v>
      </c>
      <c r="D119" t="s">
        <v>40</v>
      </c>
      <c r="E119">
        <v>56</v>
      </c>
      <c r="F119">
        <v>140763.94</v>
      </c>
    </row>
    <row r="120" spans="1:8" hidden="1" x14ac:dyDescent="0.25">
      <c r="A120" t="s">
        <v>24</v>
      </c>
      <c r="B120">
        <v>202210</v>
      </c>
      <c r="C120" t="s">
        <v>7</v>
      </c>
      <c r="D120" t="s">
        <v>40</v>
      </c>
      <c r="E120">
        <v>134</v>
      </c>
      <c r="F120">
        <v>326098.51</v>
      </c>
      <c r="G120" s="5">
        <f t="shared" ref="G120:H126" si="13">(E120-E118)/E118</f>
        <v>4.6875E-2</v>
      </c>
      <c r="H120" s="5">
        <f t="shared" si="13"/>
        <v>7.2346091470169563E-3</v>
      </c>
    </row>
    <row r="121" spans="1:8" hidden="1" x14ac:dyDescent="0.25">
      <c r="A121" t="s">
        <v>24</v>
      </c>
      <c r="B121">
        <v>202220</v>
      </c>
      <c r="C121" t="s">
        <v>7</v>
      </c>
      <c r="D121" t="s">
        <v>40</v>
      </c>
      <c r="E121">
        <v>83</v>
      </c>
      <c r="F121">
        <v>182190.68</v>
      </c>
      <c r="G121" s="5">
        <f t="shared" si="13"/>
        <v>0.48214285714285715</v>
      </c>
      <c r="H121" s="5">
        <f t="shared" si="13"/>
        <v>0.29429937809356566</v>
      </c>
    </row>
    <row r="122" spans="1:8" hidden="1" x14ac:dyDescent="0.25">
      <c r="A122" t="s">
        <v>24</v>
      </c>
      <c r="B122">
        <v>202310</v>
      </c>
      <c r="C122" t="s">
        <v>7</v>
      </c>
      <c r="D122" t="s">
        <v>40</v>
      </c>
      <c r="E122">
        <v>150</v>
      </c>
      <c r="F122">
        <v>372907.82</v>
      </c>
      <c r="G122" s="5">
        <f t="shared" si="13"/>
        <v>0.11940298507462686</v>
      </c>
      <c r="H122" s="5">
        <f t="shared" si="13"/>
        <v>0.14354346482601224</v>
      </c>
    </row>
    <row r="123" spans="1:8" hidden="1" x14ac:dyDescent="0.25">
      <c r="A123" t="s">
        <v>24</v>
      </c>
      <c r="B123">
        <v>202320</v>
      </c>
      <c r="C123" t="s">
        <v>7</v>
      </c>
      <c r="D123" t="s">
        <v>40</v>
      </c>
      <c r="E123">
        <v>133</v>
      </c>
      <c r="F123">
        <v>298938.2</v>
      </c>
      <c r="G123" s="5">
        <f t="shared" si="13"/>
        <v>0.60240963855421692</v>
      </c>
      <c r="H123" s="5">
        <f t="shared" si="13"/>
        <v>0.64079853041878998</v>
      </c>
    </row>
    <row r="124" spans="1:8" hidden="1" x14ac:dyDescent="0.25">
      <c r="A124" t="s">
        <v>24</v>
      </c>
      <c r="B124">
        <v>202410</v>
      </c>
      <c r="C124" t="s">
        <v>7</v>
      </c>
      <c r="D124" t="s">
        <v>40</v>
      </c>
      <c r="E124">
        <v>200</v>
      </c>
      <c r="F124">
        <v>478789.36</v>
      </c>
      <c r="G124" s="5">
        <f t="shared" si="13"/>
        <v>0.33333333333333331</v>
      </c>
      <c r="H124" s="5">
        <f t="shared" si="13"/>
        <v>0.28393488771568259</v>
      </c>
    </row>
    <row r="125" spans="1:8" hidden="1" x14ac:dyDescent="0.25">
      <c r="A125" t="s">
        <v>24</v>
      </c>
      <c r="B125">
        <v>202420</v>
      </c>
      <c r="C125" t="s">
        <v>7</v>
      </c>
      <c r="D125" t="s">
        <v>40</v>
      </c>
      <c r="E125">
        <v>107</v>
      </c>
      <c r="F125">
        <v>233755.89</v>
      </c>
      <c r="G125" s="5">
        <f t="shared" si="13"/>
        <v>-0.19548872180451127</v>
      </c>
      <c r="H125" s="5">
        <f t="shared" si="13"/>
        <v>-0.21804610451257148</v>
      </c>
    </row>
    <row r="126" spans="1:8" hidden="1" x14ac:dyDescent="0.25">
      <c r="A126" t="s">
        <v>24</v>
      </c>
      <c r="B126" s="2">
        <v>202510</v>
      </c>
      <c r="C126" s="2" t="s">
        <v>7</v>
      </c>
      <c r="D126" s="2" t="s">
        <v>40</v>
      </c>
      <c r="E126" s="2">
        <v>190</v>
      </c>
      <c r="F126" s="2">
        <v>468817.71</v>
      </c>
      <c r="G126" s="6">
        <f t="shared" si="13"/>
        <v>-0.05</v>
      </c>
      <c r="H126" s="6">
        <f t="shared" si="13"/>
        <v>-2.0826799492787318E-2</v>
      </c>
    </row>
    <row r="127" spans="1:8" hidden="1" x14ac:dyDescent="0.25">
      <c r="A127" t="s">
        <v>24</v>
      </c>
      <c r="B127">
        <v>202110</v>
      </c>
      <c r="C127" t="s">
        <v>7</v>
      </c>
      <c r="D127" t="s">
        <v>41</v>
      </c>
      <c r="E127">
        <v>24</v>
      </c>
      <c r="F127">
        <v>48341.89</v>
      </c>
    </row>
    <row r="128" spans="1:8" hidden="1" x14ac:dyDescent="0.25">
      <c r="A128" t="s">
        <v>24</v>
      </c>
      <c r="B128">
        <v>202120</v>
      </c>
      <c r="C128" t="s">
        <v>7</v>
      </c>
      <c r="D128" t="s">
        <v>41</v>
      </c>
      <c r="E128">
        <v>8</v>
      </c>
      <c r="F128">
        <v>18206.25</v>
      </c>
    </row>
    <row r="129" spans="1:8" hidden="1" x14ac:dyDescent="0.25">
      <c r="A129" t="s">
        <v>24</v>
      </c>
      <c r="B129">
        <v>202210</v>
      </c>
      <c r="C129" t="s">
        <v>7</v>
      </c>
      <c r="D129" t="s">
        <v>41</v>
      </c>
      <c r="E129">
        <v>15</v>
      </c>
      <c r="F129">
        <v>37709.85</v>
      </c>
      <c r="G129" s="5">
        <f t="shared" ref="G129:H135" si="14">(E129-E127)/E127</f>
        <v>-0.375</v>
      </c>
      <c r="H129" s="5">
        <f t="shared" si="14"/>
        <v>-0.21993430542330888</v>
      </c>
    </row>
    <row r="130" spans="1:8" hidden="1" x14ac:dyDescent="0.25">
      <c r="A130" t="s">
        <v>24</v>
      </c>
      <c r="B130">
        <v>202220</v>
      </c>
      <c r="C130" t="s">
        <v>7</v>
      </c>
      <c r="D130" t="s">
        <v>41</v>
      </c>
      <c r="E130">
        <v>4</v>
      </c>
      <c r="F130">
        <v>6852.03</v>
      </c>
      <c r="G130" s="5">
        <f t="shared" si="14"/>
        <v>-0.5</v>
      </c>
      <c r="H130" s="5">
        <f t="shared" si="14"/>
        <v>-0.62364407826982504</v>
      </c>
    </row>
    <row r="131" spans="1:8" hidden="1" x14ac:dyDescent="0.25">
      <c r="A131" t="s">
        <v>24</v>
      </c>
      <c r="B131">
        <v>202310</v>
      </c>
      <c r="C131" t="s">
        <v>7</v>
      </c>
      <c r="D131" t="s">
        <v>41</v>
      </c>
      <c r="E131">
        <v>8</v>
      </c>
      <c r="F131">
        <v>19962.8</v>
      </c>
      <c r="G131" s="5">
        <f t="shared" si="14"/>
        <v>-0.46666666666666667</v>
      </c>
      <c r="H131" s="5">
        <f t="shared" si="14"/>
        <v>-0.47062107115249729</v>
      </c>
    </row>
    <row r="132" spans="1:8" hidden="1" x14ac:dyDescent="0.25">
      <c r="A132" t="s">
        <v>24</v>
      </c>
      <c r="B132">
        <v>202320</v>
      </c>
      <c r="C132" t="s">
        <v>7</v>
      </c>
      <c r="D132" t="s">
        <v>41</v>
      </c>
      <c r="E132">
        <v>14</v>
      </c>
      <c r="F132">
        <v>29408.77</v>
      </c>
      <c r="G132" s="5">
        <f t="shared" si="14"/>
        <v>2.5</v>
      </c>
      <c r="H132" s="5">
        <f t="shared" si="14"/>
        <v>3.2919791652984594</v>
      </c>
    </row>
    <row r="133" spans="1:8" hidden="1" x14ac:dyDescent="0.25">
      <c r="A133" t="s">
        <v>24</v>
      </c>
      <c r="B133">
        <v>202410</v>
      </c>
      <c r="C133" t="s">
        <v>7</v>
      </c>
      <c r="D133" t="s">
        <v>41</v>
      </c>
      <c r="E133">
        <v>14</v>
      </c>
      <c r="F133">
        <v>35840</v>
      </c>
      <c r="G133" s="5">
        <f t="shared" si="14"/>
        <v>0.75</v>
      </c>
      <c r="H133" s="5">
        <f t="shared" si="14"/>
        <v>0.79533933115595012</v>
      </c>
    </row>
    <row r="134" spans="1:8" hidden="1" x14ac:dyDescent="0.25">
      <c r="A134" t="s">
        <v>24</v>
      </c>
      <c r="B134">
        <v>202420</v>
      </c>
      <c r="C134" t="s">
        <v>7</v>
      </c>
      <c r="D134" t="s">
        <v>41</v>
      </c>
      <c r="E134">
        <v>12</v>
      </c>
      <c r="F134">
        <v>32256.5</v>
      </c>
      <c r="G134" s="5">
        <f t="shared" si="14"/>
        <v>-0.14285714285714285</v>
      </c>
      <c r="H134" s="5">
        <f t="shared" si="14"/>
        <v>9.6832679503427027E-2</v>
      </c>
    </row>
    <row r="135" spans="1:8" hidden="1" x14ac:dyDescent="0.25">
      <c r="A135" t="s">
        <v>24</v>
      </c>
      <c r="B135" s="2">
        <v>202510</v>
      </c>
      <c r="C135" s="2" t="s">
        <v>7</v>
      </c>
      <c r="D135" s="2" t="s">
        <v>41</v>
      </c>
      <c r="E135" s="2">
        <v>20</v>
      </c>
      <c r="F135" s="2">
        <v>52785</v>
      </c>
      <c r="G135" s="6">
        <f t="shared" si="14"/>
        <v>0.42857142857142855</v>
      </c>
      <c r="H135" s="6">
        <f t="shared" si="14"/>
        <v>0.47279575892857145</v>
      </c>
    </row>
    <row r="136" spans="1:8" hidden="1" x14ac:dyDescent="0.25">
      <c r="A136" t="s">
        <v>24</v>
      </c>
      <c r="B136">
        <v>202110</v>
      </c>
      <c r="C136" t="s">
        <v>8</v>
      </c>
      <c r="D136" t="s">
        <v>42</v>
      </c>
      <c r="E136">
        <v>46</v>
      </c>
      <c r="F136">
        <v>120041.38</v>
      </c>
    </row>
    <row r="137" spans="1:8" hidden="1" x14ac:dyDescent="0.25">
      <c r="A137" t="s">
        <v>24</v>
      </c>
      <c r="B137">
        <v>202120</v>
      </c>
      <c r="C137" t="s">
        <v>8</v>
      </c>
      <c r="D137" t="s">
        <v>42</v>
      </c>
      <c r="E137">
        <v>13</v>
      </c>
      <c r="F137">
        <v>34886.19</v>
      </c>
    </row>
    <row r="138" spans="1:8" hidden="1" x14ac:dyDescent="0.25">
      <c r="A138" t="s">
        <v>24</v>
      </c>
      <c r="B138">
        <v>202210</v>
      </c>
      <c r="C138" t="s">
        <v>8</v>
      </c>
      <c r="D138" t="s">
        <v>42</v>
      </c>
      <c r="E138">
        <v>35</v>
      </c>
      <c r="F138">
        <v>89429.04</v>
      </c>
      <c r="G138" s="5">
        <f t="shared" ref="G138:H144" si="15">(E138-E136)/E136</f>
        <v>-0.2391304347826087</v>
      </c>
      <c r="H138" s="5">
        <f t="shared" si="15"/>
        <v>-0.25501489569680064</v>
      </c>
    </row>
    <row r="139" spans="1:8" hidden="1" x14ac:dyDescent="0.25">
      <c r="A139" t="s">
        <v>24</v>
      </c>
      <c r="B139">
        <v>202220</v>
      </c>
      <c r="C139" t="s">
        <v>8</v>
      </c>
      <c r="D139" t="s">
        <v>42</v>
      </c>
      <c r="E139">
        <v>13</v>
      </c>
      <c r="F139">
        <v>33362.239999999998</v>
      </c>
      <c r="G139" s="5">
        <f t="shared" si="15"/>
        <v>0</v>
      </c>
      <c r="H139" s="5">
        <f t="shared" si="15"/>
        <v>-4.3683474750323963E-2</v>
      </c>
    </row>
    <row r="140" spans="1:8" hidden="1" x14ac:dyDescent="0.25">
      <c r="A140" t="s">
        <v>24</v>
      </c>
      <c r="B140">
        <v>202310</v>
      </c>
      <c r="C140" t="s">
        <v>8</v>
      </c>
      <c r="D140" t="s">
        <v>42</v>
      </c>
      <c r="E140">
        <v>38</v>
      </c>
      <c r="F140">
        <v>91756.79</v>
      </c>
      <c r="G140" s="5">
        <f t="shared" si="15"/>
        <v>8.5714285714285715E-2</v>
      </c>
      <c r="H140" s="5">
        <f t="shared" si="15"/>
        <v>2.6029016972562831E-2</v>
      </c>
    </row>
    <row r="141" spans="1:8" hidden="1" x14ac:dyDescent="0.25">
      <c r="A141" t="s">
        <v>24</v>
      </c>
      <c r="B141">
        <v>202320</v>
      </c>
      <c r="C141" t="s">
        <v>8</v>
      </c>
      <c r="D141" t="s">
        <v>42</v>
      </c>
      <c r="E141">
        <v>16</v>
      </c>
      <c r="F141">
        <v>41035.25</v>
      </c>
      <c r="G141" s="5">
        <f t="shared" si="15"/>
        <v>0.23076923076923078</v>
      </c>
      <c r="H141" s="5">
        <f t="shared" si="15"/>
        <v>0.22999085193320359</v>
      </c>
    </row>
    <row r="142" spans="1:8" hidden="1" x14ac:dyDescent="0.25">
      <c r="A142" t="s">
        <v>24</v>
      </c>
      <c r="B142">
        <v>202410</v>
      </c>
      <c r="C142" t="s">
        <v>8</v>
      </c>
      <c r="D142" t="s">
        <v>42</v>
      </c>
      <c r="E142">
        <v>37</v>
      </c>
      <c r="F142">
        <v>97983.239999999991</v>
      </c>
      <c r="G142" s="5">
        <f t="shared" si="15"/>
        <v>-2.6315789473684209E-2</v>
      </c>
      <c r="H142" s="5">
        <f t="shared" si="15"/>
        <v>6.7858193382745818E-2</v>
      </c>
    </row>
    <row r="143" spans="1:8" hidden="1" x14ac:dyDescent="0.25">
      <c r="A143" t="s">
        <v>24</v>
      </c>
      <c r="B143">
        <v>202420</v>
      </c>
      <c r="C143" t="s">
        <v>8</v>
      </c>
      <c r="D143" t="s">
        <v>42</v>
      </c>
      <c r="E143">
        <v>24</v>
      </c>
      <c r="F143">
        <v>65481.54</v>
      </c>
      <c r="G143" s="5">
        <f t="shared" si="15"/>
        <v>0.5</v>
      </c>
      <c r="H143" s="5">
        <f t="shared" si="15"/>
        <v>0.59573878555632054</v>
      </c>
    </row>
    <row r="144" spans="1:8" hidden="1" x14ac:dyDescent="0.25">
      <c r="A144" t="s">
        <v>24</v>
      </c>
      <c r="B144" s="2">
        <v>202510</v>
      </c>
      <c r="C144" s="2" t="s">
        <v>8</v>
      </c>
      <c r="D144" s="2" t="s">
        <v>42</v>
      </c>
      <c r="E144" s="2">
        <v>45</v>
      </c>
      <c r="F144" s="2">
        <v>119973.45999999999</v>
      </c>
      <c r="G144" s="6">
        <f t="shared" si="15"/>
        <v>0.21621621621621623</v>
      </c>
      <c r="H144" s="6">
        <f t="shared" si="15"/>
        <v>0.22442838183346461</v>
      </c>
    </row>
    <row r="145" spans="1:8" hidden="1" x14ac:dyDescent="0.25">
      <c r="A145" t="s">
        <v>24</v>
      </c>
      <c r="B145">
        <v>202110</v>
      </c>
      <c r="C145" t="s">
        <v>9</v>
      </c>
      <c r="D145" t="s">
        <v>43</v>
      </c>
      <c r="E145">
        <v>10</v>
      </c>
      <c r="F145">
        <v>24501.1</v>
      </c>
    </row>
    <row r="146" spans="1:8" hidden="1" x14ac:dyDescent="0.25">
      <c r="A146" t="s">
        <v>24</v>
      </c>
      <c r="B146">
        <v>202120</v>
      </c>
      <c r="C146" t="s">
        <v>9</v>
      </c>
      <c r="D146" t="s">
        <v>43</v>
      </c>
      <c r="E146">
        <v>4</v>
      </c>
      <c r="F146">
        <v>12660.69</v>
      </c>
    </row>
    <row r="147" spans="1:8" hidden="1" x14ac:dyDescent="0.25">
      <c r="A147" t="s">
        <v>24</v>
      </c>
      <c r="B147">
        <v>202210</v>
      </c>
      <c r="C147" t="s">
        <v>9</v>
      </c>
      <c r="D147" t="s">
        <v>43</v>
      </c>
      <c r="E147">
        <v>7</v>
      </c>
      <c r="F147">
        <v>19410.68</v>
      </c>
      <c r="G147" s="5">
        <f t="shared" ref="G147:H153" si="16">(E147-E145)/E145</f>
        <v>-0.3</v>
      </c>
      <c r="H147" s="5">
        <f t="shared" si="16"/>
        <v>-0.20776291676700223</v>
      </c>
    </row>
    <row r="148" spans="1:8" hidden="1" x14ac:dyDescent="0.25">
      <c r="A148" t="s">
        <v>24</v>
      </c>
      <c r="B148">
        <v>202220</v>
      </c>
      <c r="C148" t="s">
        <v>9</v>
      </c>
      <c r="D148" t="s">
        <v>43</v>
      </c>
      <c r="E148">
        <v>5</v>
      </c>
      <c r="F148">
        <v>8246.9599999999991</v>
      </c>
      <c r="G148" s="5">
        <f t="shared" si="16"/>
        <v>0.25</v>
      </c>
      <c r="H148" s="5">
        <f t="shared" si="16"/>
        <v>-0.34861686053445756</v>
      </c>
    </row>
    <row r="149" spans="1:8" hidden="1" x14ac:dyDescent="0.25">
      <c r="A149" t="s">
        <v>24</v>
      </c>
      <c r="B149">
        <v>202310</v>
      </c>
      <c r="C149" t="s">
        <v>9</v>
      </c>
      <c r="D149" t="s">
        <v>43</v>
      </c>
      <c r="E149">
        <v>14</v>
      </c>
      <c r="F149">
        <v>40540.800000000003</v>
      </c>
      <c r="G149" s="5">
        <f t="shared" si="16"/>
        <v>1</v>
      </c>
      <c r="H149" s="5">
        <f t="shared" si="16"/>
        <v>1.0885821619850518</v>
      </c>
    </row>
    <row r="150" spans="1:8" hidden="1" x14ac:dyDescent="0.25">
      <c r="A150" t="s">
        <v>24</v>
      </c>
      <c r="B150">
        <v>202320</v>
      </c>
      <c r="C150" t="s">
        <v>9</v>
      </c>
      <c r="D150" t="s">
        <v>43</v>
      </c>
      <c r="E150">
        <v>5</v>
      </c>
      <c r="F150">
        <v>12642.3</v>
      </c>
      <c r="G150" s="5">
        <f t="shared" si="16"/>
        <v>0</v>
      </c>
      <c r="H150" s="5">
        <f t="shared" si="16"/>
        <v>0.53296487432944994</v>
      </c>
    </row>
    <row r="151" spans="1:8" hidden="1" x14ac:dyDescent="0.25">
      <c r="A151" t="s">
        <v>24</v>
      </c>
      <c r="B151">
        <v>202410</v>
      </c>
      <c r="C151" t="s">
        <v>9</v>
      </c>
      <c r="D151" t="s">
        <v>43</v>
      </c>
      <c r="E151">
        <v>22</v>
      </c>
      <c r="F151">
        <v>60192.13</v>
      </c>
      <c r="G151" s="5">
        <f t="shared" si="16"/>
        <v>0.5714285714285714</v>
      </c>
      <c r="H151" s="5">
        <f t="shared" si="16"/>
        <v>0.48472970439655838</v>
      </c>
    </row>
    <row r="152" spans="1:8" hidden="1" x14ac:dyDescent="0.25">
      <c r="A152" t="s">
        <v>24</v>
      </c>
      <c r="B152">
        <v>202420</v>
      </c>
      <c r="C152" t="s">
        <v>9</v>
      </c>
      <c r="D152" t="s">
        <v>43</v>
      </c>
      <c r="E152">
        <v>10</v>
      </c>
      <c r="F152">
        <v>25782.65</v>
      </c>
      <c r="G152" s="5">
        <f t="shared" si="16"/>
        <v>1</v>
      </c>
      <c r="H152" s="5">
        <f t="shared" si="16"/>
        <v>1.0393955213845585</v>
      </c>
    </row>
    <row r="153" spans="1:8" hidden="1" x14ac:dyDescent="0.25">
      <c r="A153" t="s">
        <v>24</v>
      </c>
      <c r="B153" s="2">
        <v>202510</v>
      </c>
      <c r="C153" s="2" t="s">
        <v>9</v>
      </c>
      <c r="D153" s="2" t="s">
        <v>43</v>
      </c>
      <c r="E153" s="2">
        <v>12</v>
      </c>
      <c r="F153" s="2">
        <v>32032</v>
      </c>
      <c r="G153" s="6">
        <f t="shared" si="16"/>
        <v>-0.45454545454545453</v>
      </c>
      <c r="H153" s="6">
        <f t="shared" si="16"/>
        <v>-0.46783740665100237</v>
      </c>
    </row>
    <row r="154" spans="1:8" hidden="1" x14ac:dyDescent="0.25">
      <c r="A154" t="s">
        <v>24</v>
      </c>
      <c r="B154">
        <v>202110</v>
      </c>
      <c r="C154" t="s">
        <v>9</v>
      </c>
      <c r="D154" t="s">
        <v>44</v>
      </c>
      <c r="E154">
        <v>18</v>
      </c>
      <c r="F154">
        <v>43619.63</v>
      </c>
    </row>
    <row r="155" spans="1:8" hidden="1" x14ac:dyDescent="0.25">
      <c r="A155" t="s">
        <v>24</v>
      </c>
      <c r="B155">
        <v>202120</v>
      </c>
      <c r="C155" t="s">
        <v>9</v>
      </c>
      <c r="D155" t="s">
        <v>44</v>
      </c>
      <c r="E155">
        <v>8</v>
      </c>
      <c r="F155">
        <v>19531.02</v>
      </c>
    </row>
    <row r="156" spans="1:8" hidden="1" x14ac:dyDescent="0.25">
      <c r="A156" t="s">
        <v>24</v>
      </c>
      <c r="B156">
        <v>202210</v>
      </c>
      <c r="C156" t="s">
        <v>9</v>
      </c>
      <c r="D156" t="s">
        <v>44</v>
      </c>
      <c r="E156">
        <v>22</v>
      </c>
      <c r="F156">
        <v>53487.97</v>
      </c>
      <c r="G156" s="5">
        <f t="shared" ref="G156:H162" si="17">(E156-E154)/E154</f>
        <v>0.22222222222222221</v>
      </c>
      <c r="H156" s="5">
        <f t="shared" si="17"/>
        <v>0.22623621520861145</v>
      </c>
    </row>
    <row r="157" spans="1:8" hidden="1" x14ac:dyDescent="0.25">
      <c r="A157" t="s">
        <v>24</v>
      </c>
      <c r="B157">
        <v>202220</v>
      </c>
      <c r="C157" t="s">
        <v>9</v>
      </c>
      <c r="D157" t="s">
        <v>44</v>
      </c>
      <c r="E157">
        <v>12</v>
      </c>
      <c r="F157">
        <v>31869.27</v>
      </c>
      <c r="G157" s="5">
        <f t="shared" si="17"/>
        <v>0.5</v>
      </c>
      <c r="H157" s="5">
        <f t="shared" si="17"/>
        <v>0.63172583920348246</v>
      </c>
    </row>
    <row r="158" spans="1:8" hidden="1" x14ac:dyDescent="0.25">
      <c r="A158" t="s">
        <v>24</v>
      </c>
      <c r="B158">
        <v>202310</v>
      </c>
      <c r="C158" t="s">
        <v>9</v>
      </c>
      <c r="D158" t="s">
        <v>44</v>
      </c>
      <c r="E158">
        <v>17</v>
      </c>
      <c r="F158">
        <v>40844.32</v>
      </c>
      <c r="G158" s="5">
        <f t="shared" si="17"/>
        <v>-0.22727272727272727</v>
      </c>
      <c r="H158" s="5">
        <f t="shared" si="17"/>
        <v>-0.23638305959265235</v>
      </c>
    </row>
    <row r="159" spans="1:8" hidden="1" x14ac:dyDescent="0.25">
      <c r="A159" t="s">
        <v>24</v>
      </c>
      <c r="B159">
        <v>202320</v>
      </c>
      <c r="C159" t="s">
        <v>9</v>
      </c>
      <c r="D159" t="s">
        <v>44</v>
      </c>
      <c r="E159">
        <v>7</v>
      </c>
      <c r="F159">
        <v>16578.89</v>
      </c>
      <c r="G159" s="5">
        <f t="shared" si="17"/>
        <v>-0.41666666666666669</v>
      </c>
      <c r="H159" s="5">
        <f t="shared" si="17"/>
        <v>-0.47978444438796375</v>
      </c>
    </row>
    <row r="160" spans="1:8" hidden="1" x14ac:dyDescent="0.25">
      <c r="A160" t="s">
        <v>24</v>
      </c>
      <c r="B160">
        <v>202410</v>
      </c>
      <c r="C160" t="s">
        <v>9</v>
      </c>
      <c r="D160" t="s">
        <v>44</v>
      </c>
      <c r="E160">
        <v>27</v>
      </c>
      <c r="F160">
        <v>57892.79</v>
      </c>
      <c r="G160" s="5">
        <f t="shared" si="17"/>
        <v>0.58823529411764708</v>
      </c>
      <c r="H160" s="5">
        <f t="shared" si="17"/>
        <v>0.41740124453045124</v>
      </c>
    </row>
    <row r="161" spans="1:8" hidden="1" x14ac:dyDescent="0.25">
      <c r="A161" t="s">
        <v>24</v>
      </c>
      <c r="B161">
        <v>202420</v>
      </c>
      <c r="C161" t="s">
        <v>9</v>
      </c>
      <c r="D161" t="s">
        <v>44</v>
      </c>
      <c r="E161">
        <v>20</v>
      </c>
      <c r="F161">
        <v>49078.39</v>
      </c>
      <c r="G161" s="5">
        <f t="shared" si="17"/>
        <v>1.8571428571428572</v>
      </c>
      <c r="H161" s="5">
        <f t="shared" si="17"/>
        <v>1.9602940848271508</v>
      </c>
    </row>
    <row r="162" spans="1:8" hidden="1" x14ac:dyDescent="0.25">
      <c r="A162" t="s">
        <v>24</v>
      </c>
      <c r="B162" s="2">
        <v>202510</v>
      </c>
      <c r="C162" s="2" t="s">
        <v>9</v>
      </c>
      <c r="D162" s="2" t="s">
        <v>44</v>
      </c>
      <c r="E162" s="2">
        <v>17</v>
      </c>
      <c r="F162" s="2">
        <v>42842.85</v>
      </c>
      <c r="G162" s="6">
        <f t="shared" si="17"/>
        <v>-0.37037037037037035</v>
      </c>
      <c r="H162" s="6">
        <f t="shared" si="17"/>
        <v>-0.25996225091241937</v>
      </c>
    </row>
    <row r="163" spans="1:8" hidden="1" x14ac:dyDescent="0.25">
      <c r="A163" t="s">
        <v>24</v>
      </c>
      <c r="B163">
        <v>202110</v>
      </c>
      <c r="C163" t="s">
        <v>9</v>
      </c>
      <c r="D163" t="s">
        <v>45</v>
      </c>
      <c r="E163">
        <v>24</v>
      </c>
      <c r="F163">
        <v>66927.789999999994</v>
      </c>
    </row>
    <row r="164" spans="1:8" hidden="1" x14ac:dyDescent="0.25">
      <c r="A164" t="s">
        <v>24</v>
      </c>
      <c r="B164">
        <v>202120</v>
      </c>
      <c r="C164" t="s">
        <v>9</v>
      </c>
      <c r="D164" t="s">
        <v>45</v>
      </c>
      <c r="E164">
        <v>14</v>
      </c>
      <c r="F164">
        <v>37175.57</v>
      </c>
    </row>
    <row r="165" spans="1:8" hidden="1" x14ac:dyDescent="0.25">
      <c r="A165" t="s">
        <v>24</v>
      </c>
      <c r="B165">
        <v>202210</v>
      </c>
      <c r="C165" t="s">
        <v>9</v>
      </c>
      <c r="D165" t="s">
        <v>45</v>
      </c>
      <c r="E165">
        <v>29</v>
      </c>
      <c r="F165">
        <v>79325.25</v>
      </c>
      <c r="G165" s="5">
        <f t="shared" ref="G165:H171" si="18">(E165-E163)/E163</f>
        <v>0.20833333333333334</v>
      </c>
      <c r="H165" s="5">
        <f t="shared" si="18"/>
        <v>0.18523635697518187</v>
      </c>
    </row>
    <row r="166" spans="1:8" hidden="1" x14ac:dyDescent="0.25">
      <c r="A166" t="s">
        <v>24</v>
      </c>
      <c r="B166">
        <v>202220</v>
      </c>
      <c r="C166" t="s">
        <v>9</v>
      </c>
      <c r="D166" t="s">
        <v>45</v>
      </c>
      <c r="E166">
        <v>24</v>
      </c>
      <c r="F166">
        <v>67366.17</v>
      </c>
      <c r="G166" s="5">
        <f t="shared" si="18"/>
        <v>0.7142857142857143</v>
      </c>
      <c r="H166" s="5">
        <f t="shared" si="18"/>
        <v>0.81210859712440187</v>
      </c>
    </row>
    <row r="167" spans="1:8" hidden="1" x14ac:dyDescent="0.25">
      <c r="A167" t="s">
        <v>24</v>
      </c>
      <c r="B167">
        <v>202310</v>
      </c>
      <c r="C167" t="s">
        <v>9</v>
      </c>
      <c r="D167" t="s">
        <v>45</v>
      </c>
      <c r="E167">
        <v>46</v>
      </c>
      <c r="F167">
        <v>131897.95000000001</v>
      </c>
      <c r="G167" s="5">
        <f t="shared" si="18"/>
        <v>0.58620689655172409</v>
      </c>
      <c r="H167" s="5">
        <f t="shared" si="18"/>
        <v>0.66274862039514548</v>
      </c>
    </row>
    <row r="168" spans="1:8" hidden="1" x14ac:dyDescent="0.25">
      <c r="A168" t="s">
        <v>24</v>
      </c>
      <c r="B168">
        <v>202320</v>
      </c>
      <c r="C168" t="s">
        <v>9</v>
      </c>
      <c r="D168" t="s">
        <v>45</v>
      </c>
      <c r="E168">
        <v>13</v>
      </c>
      <c r="F168">
        <v>31000.799999999999</v>
      </c>
      <c r="G168" s="5">
        <f t="shared" si="18"/>
        <v>-0.45833333333333331</v>
      </c>
      <c r="H168" s="5">
        <f t="shared" si="18"/>
        <v>-0.53981649839971602</v>
      </c>
    </row>
    <row r="169" spans="1:8" hidden="1" x14ac:dyDescent="0.25">
      <c r="A169" t="s">
        <v>24</v>
      </c>
      <c r="B169">
        <v>202410</v>
      </c>
      <c r="C169" t="s">
        <v>9</v>
      </c>
      <c r="D169" t="s">
        <v>45</v>
      </c>
      <c r="E169">
        <v>42</v>
      </c>
      <c r="F169">
        <v>117858.22</v>
      </c>
      <c r="G169" s="5">
        <f t="shared" si="18"/>
        <v>-8.6956521739130432E-2</v>
      </c>
      <c r="H169" s="5">
        <f t="shared" si="18"/>
        <v>-0.10644388332040043</v>
      </c>
    </row>
    <row r="170" spans="1:8" hidden="1" x14ac:dyDescent="0.25">
      <c r="A170" t="s">
        <v>24</v>
      </c>
      <c r="B170">
        <v>202420</v>
      </c>
      <c r="C170" t="s">
        <v>9</v>
      </c>
      <c r="D170" t="s">
        <v>45</v>
      </c>
      <c r="E170">
        <v>13</v>
      </c>
      <c r="F170">
        <v>40001.800000000003</v>
      </c>
      <c r="G170" s="5">
        <f t="shared" si="18"/>
        <v>0</v>
      </c>
      <c r="H170" s="5">
        <f t="shared" si="18"/>
        <v>0.29034734587494526</v>
      </c>
    </row>
    <row r="171" spans="1:8" hidden="1" x14ac:dyDescent="0.25">
      <c r="A171" t="s">
        <v>24</v>
      </c>
      <c r="B171" s="2">
        <v>202510</v>
      </c>
      <c r="C171" s="2" t="s">
        <v>9</v>
      </c>
      <c r="D171" s="2" t="s">
        <v>45</v>
      </c>
      <c r="E171" s="2">
        <v>30</v>
      </c>
      <c r="F171" s="2">
        <v>75714.98</v>
      </c>
      <c r="G171" s="6">
        <f t="shared" si="18"/>
        <v>-0.2857142857142857</v>
      </c>
      <c r="H171" s="6">
        <f t="shared" si="18"/>
        <v>-0.35757573803507303</v>
      </c>
    </row>
    <row r="172" spans="1:8" hidden="1" x14ac:dyDescent="0.25">
      <c r="A172" t="s">
        <v>24</v>
      </c>
      <c r="B172">
        <v>202110</v>
      </c>
      <c r="C172" t="s">
        <v>9</v>
      </c>
      <c r="D172" t="s">
        <v>46</v>
      </c>
      <c r="E172">
        <v>73</v>
      </c>
      <c r="F172">
        <v>192148.57</v>
      </c>
    </row>
    <row r="173" spans="1:8" hidden="1" x14ac:dyDescent="0.25">
      <c r="A173" t="s">
        <v>24</v>
      </c>
      <c r="B173">
        <v>202120</v>
      </c>
      <c r="C173" t="s">
        <v>9</v>
      </c>
      <c r="D173" t="s">
        <v>46</v>
      </c>
      <c r="E173">
        <v>40</v>
      </c>
      <c r="F173">
        <v>103429.16</v>
      </c>
    </row>
    <row r="174" spans="1:8" hidden="1" x14ac:dyDescent="0.25">
      <c r="A174" t="s">
        <v>24</v>
      </c>
      <c r="B174">
        <v>202210</v>
      </c>
      <c r="C174" t="s">
        <v>9</v>
      </c>
      <c r="D174" t="s">
        <v>46</v>
      </c>
      <c r="E174">
        <v>85</v>
      </c>
      <c r="F174">
        <v>211262.39</v>
      </c>
      <c r="G174" s="5">
        <f t="shared" ref="G174:H180" si="19">(E174-E172)/E172</f>
        <v>0.16438356164383561</v>
      </c>
      <c r="H174" s="5">
        <f t="shared" si="19"/>
        <v>9.9474172511406181E-2</v>
      </c>
    </row>
    <row r="175" spans="1:8" hidden="1" x14ac:dyDescent="0.25">
      <c r="A175" t="s">
        <v>24</v>
      </c>
      <c r="B175">
        <v>202220</v>
      </c>
      <c r="C175" t="s">
        <v>9</v>
      </c>
      <c r="D175" t="s">
        <v>46</v>
      </c>
      <c r="E175">
        <v>43</v>
      </c>
      <c r="F175">
        <v>104490.04</v>
      </c>
      <c r="G175" s="5">
        <f t="shared" si="19"/>
        <v>7.4999999999999997E-2</v>
      </c>
      <c r="H175" s="5">
        <f t="shared" si="19"/>
        <v>1.0257068702868612E-2</v>
      </c>
    </row>
    <row r="176" spans="1:8" hidden="1" x14ac:dyDescent="0.25">
      <c r="A176" t="s">
        <v>24</v>
      </c>
      <c r="B176">
        <v>202310</v>
      </c>
      <c r="C176" t="s">
        <v>9</v>
      </c>
      <c r="D176" t="s">
        <v>46</v>
      </c>
      <c r="E176">
        <v>90</v>
      </c>
      <c r="F176">
        <v>237940.28</v>
      </c>
      <c r="G176" s="5">
        <f t="shared" si="19"/>
        <v>5.8823529411764705E-2</v>
      </c>
      <c r="H176" s="5">
        <f t="shared" si="19"/>
        <v>0.12627846347852065</v>
      </c>
    </row>
    <row r="177" spans="1:8" hidden="1" x14ac:dyDescent="0.25">
      <c r="A177" t="s">
        <v>24</v>
      </c>
      <c r="B177">
        <v>202320</v>
      </c>
      <c r="C177" t="s">
        <v>9</v>
      </c>
      <c r="D177" t="s">
        <v>46</v>
      </c>
      <c r="E177">
        <v>36</v>
      </c>
      <c r="F177">
        <v>95904.27</v>
      </c>
      <c r="G177" s="5">
        <f t="shared" si="19"/>
        <v>-0.16279069767441862</v>
      </c>
      <c r="H177" s="5">
        <f t="shared" si="19"/>
        <v>-8.2168310013088233E-2</v>
      </c>
    </row>
    <row r="178" spans="1:8" hidden="1" x14ac:dyDescent="0.25">
      <c r="A178" t="s">
        <v>24</v>
      </c>
      <c r="B178">
        <v>202410</v>
      </c>
      <c r="C178" t="s">
        <v>9</v>
      </c>
      <c r="D178" t="s">
        <v>46</v>
      </c>
      <c r="E178">
        <v>47</v>
      </c>
      <c r="F178">
        <v>122948.38</v>
      </c>
      <c r="G178" s="5">
        <f t="shared" si="19"/>
        <v>-0.4777777777777778</v>
      </c>
      <c r="H178" s="5">
        <f t="shared" si="19"/>
        <v>-0.48328051055500143</v>
      </c>
    </row>
    <row r="179" spans="1:8" hidden="1" x14ac:dyDescent="0.25">
      <c r="A179" t="s">
        <v>24</v>
      </c>
      <c r="B179">
        <v>202420</v>
      </c>
      <c r="C179" t="s">
        <v>9</v>
      </c>
      <c r="D179" t="s">
        <v>46</v>
      </c>
      <c r="E179">
        <v>24</v>
      </c>
      <c r="F179">
        <v>62310.36</v>
      </c>
      <c r="G179" s="5">
        <f t="shared" si="19"/>
        <v>-0.33333333333333331</v>
      </c>
      <c r="H179" s="5">
        <f t="shared" si="19"/>
        <v>-0.35028586318419402</v>
      </c>
    </row>
    <row r="180" spans="1:8" hidden="1" x14ac:dyDescent="0.25">
      <c r="A180" t="s">
        <v>24</v>
      </c>
      <c r="B180" s="2">
        <v>202510</v>
      </c>
      <c r="C180" s="2" t="s">
        <v>9</v>
      </c>
      <c r="D180" s="2" t="s">
        <v>46</v>
      </c>
      <c r="E180" s="2">
        <v>79</v>
      </c>
      <c r="F180" s="2">
        <v>200650.97</v>
      </c>
      <c r="G180" s="6">
        <f t="shared" si="19"/>
        <v>0.68085106382978722</v>
      </c>
      <c r="H180" s="6">
        <f t="shared" si="19"/>
        <v>0.63199360577178809</v>
      </c>
    </row>
    <row r="181" spans="1:8" hidden="1" x14ac:dyDescent="0.25">
      <c r="A181" t="s">
        <v>24</v>
      </c>
      <c r="B181">
        <v>202110</v>
      </c>
      <c r="C181" t="s">
        <v>9</v>
      </c>
      <c r="D181" t="s">
        <v>47</v>
      </c>
      <c r="E181">
        <v>20</v>
      </c>
      <c r="F181">
        <v>45589.440000000002</v>
      </c>
    </row>
    <row r="182" spans="1:8" hidden="1" x14ac:dyDescent="0.25">
      <c r="A182" t="s">
        <v>24</v>
      </c>
      <c r="B182">
        <v>202120</v>
      </c>
      <c r="C182" t="s">
        <v>9</v>
      </c>
      <c r="D182" t="s">
        <v>47</v>
      </c>
      <c r="E182">
        <v>10</v>
      </c>
      <c r="F182">
        <v>23319.54</v>
      </c>
    </row>
    <row r="183" spans="1:8" hidden="1" x14ac:dyDescent="0.25">
      <c r="A183" t="s">
        <v>24</v>
      </c>
      <c r="B183">
        <v>202210</v>
      </c>
      <c r="C183" t="s">
        <v>9</v>
      </c>
      <c r="D183" t="s">
        <v>47</v>
      </c>
      <c r="E183">
        <v>23</v>
      </c>
      <c r="F183">
        <v>55583.14</v>
      </c>
      <c r="G183" s="5">
        <f t="shared" ref="G183:H189" si="20">(E183-E181)/E181</f>
        <v>0.15</v>
      </c>
      <c r="H183" s="5">
        <f t="shared" si="20"/>
        <v>0.21921085233773427</v>
      </c>
    </row>
    <row r="184" spans="1:8" hidden="1" x14ac:dyDescent="0.25">
      <c r="A184" t="s">
        <v>24</v>
      </c>
      <c r="B184">
        <v>202220</v>
      </c>
      <c r="C184" t="s">
        <v>9</v>
      </c>
      <c r="D184" t="s">
        <v>47</v>
      </c>
      <c r="E184">
        <v>14</v>
      </c>
      <c r="F184">
        <v>33494.79</v>
      </c>
      <c r="G184" s="5">
        <f t="shared" si="20"/>
        <v>0.4</v>
      </c>
      <c r="H184" s="5">
        <f t="shared" si="20"/>
        <v>0.43634008218000869</v>
      </c>
    </row>
    <row r="185" spans="1:8" hidden="1" x14ac:dyDescent="0.25">
      <c r="A185" t="s">
        <v>24</v>
      </c>
      <c r="B185">
        <v>202310</v>
      </c>
      <c r="C185" t="s">
        <v>9</v>
      </c>
      <c r="D185" t="s">
        <v>47</v>
      </c>
      <c r="E185">
        <v>21</v>
      </c>
      <c r="F185">
        <v>51148.83</v>
      </c>
      <c r="G185" s="5">
        <f t="shared" si="20"/>
        <v>-8.6956521739130432E-2</v>
      </c>
      <c r="H185" s="5">
        <f t="shared" si="20"/>
        <v>-7.9777968643009331E-2</v>
      </c>
    </row>
    <row r="186" spans="1:8" hidden="1" x14ac:dyDescent="0.25">
      <c r="A186" t="s">
        <v>24</v>
      </c>
      <c r="B186">
        <v>202320</v>
      </c>
      <c r="C186" t="s">
        <v>9</v>
      </c>
      <c r="D186" t="s">
        <v>47</v>
      </c>
      <c r="E186">
        <v>6</v>
      </c>
      <c r="F186">
        <v>14645.11</v>
      </c>
      <c r="G186" s="5">
        <f t="shared" si="20"/>
        <v>-0.5714285714285714</v>
      </c>
      <c r="H186" s="5">
        <f t="shared" si="20"/>
        <v>-0.56276453741014643</v>
      </c>
    </row>
    <row r="187" spans="1:8" hidden="1" x14ac:dyDescent="0.25">
      <c r="A187" t="s">
        <v>24</v>
      </c>
      <c r="B187">
        <v>202410</v>
      </c>
      <c r="C187" t="s">
        <v>9</v>
      </c>
      <c r="D187" t="s">
        <v>47</v>
      </c>
      <c r="E187">
        <v>19</v>
      </c>
      <c r="F187">
        <v>44773.120000000003</v>
      </c>
      <c r="G187" s="5">
        <f t="shared" si="20"/>
        <v>-9.5238095238095233E-2</v>
      </c>
      <c r="H187" s="5">
        <f t="shared" si="20"/>
        <v>-0.12465016306335842</v>
      </c>
    </row>
    <row r="188" spans="1:8" hidden="1" x14ac:dyDescent="0.25">
      <c r="A188" t="s">
        <v>24</v>
      </c>
      <c r="B188">
        <v>202420</v>
      </c>
      <c r="C188" t="s">
        <v>9</v>
      </c>
      <c r="D188" t="s">
        <v>47</v>
      </c>
      <c r="E188">
        <v>6</v>
      </c>
      <c r="F188">
        <v>13082.02</v>
      </c>
      <c r="G188" s="5">
        <f t="shared" si="20"/>
        <v>0</v>
      </c>
      <c r="H188" s="5">
        <f t="shared" si="20"/>
        <v>-0.106731188772225</v>
      </c>
    </row>
    <row r="189" spans="1:8" hidden="1" x14ac:dyDescent="0.25">
      <c r="A189" t="s">
        <v>24</v>
      </c>
      <c r="B189" s="2">
        <v>202510</v>
      </c>
      <c r="C189" s="2" t="s">
        <v>9</v>
      </c>
      <c r="D189" s="2" t="s">
        <v>47</v>
      </c>
      <c r="E189" s="2">
        <v>12</v>
      </c>
      <c r="F189" s="2">
        <v>28283.33</v>
      </c>
      <c r="G189" s="6">
        <f t="shared" si="20"/>
        <v>-0.36842105263157893</v>
      </c>
      <c r="H189" s="6">
        <f t="shared" si="20"/>
        <v>-0.36829664763143599</v>
      </c>
    </row>
    <row r="190" spans="1:8" hidden="1" x14ac:dyDescent="0.25">
      <c r="A190" t="s">
        <v>24</v>
      </c>
      <c r="B190">
        <v>202110</v>
      </c>
      <c r="C190" t="s">
        <v>9</v>
      </c>
      <c r="D190" t="s">
        <v>48</v>
      </c>
      <c r="E190">
        <v>18</v>
      </c>
      <c r="F190">
        <v>53763.48</v>
      </c>
    </row>
    <row r="191" spans="1:8" hidden="1" x14ac:dyDescent="0.25">
      <c r="A191" t="s">
        <v>24</v>
      </c>
      <c r="B191">
        <v>202120</v>
      </c>
      <c r="C191" t="s">
        <v>9</v>
      </c>
      <c r="D191" t="s">
        <v>48</v>
      </c>
      <c r="E191">
        <v>11</v>
      </c>
      <c r="F191">
        <v>29397.43</v>
      </c>
    </row>
    <row r="192" spans="1:8" hidden="1" x14ac:dyDescent="0.25">
      <c r="A192" t="s">
        <v>24</v>
      </c>
      <c r="B192">
        <v>202210</v>
      </c>
      <c r="C192" t="s">
        <v>9</v>
      </c>
      <c r="D192" t="s">
        <v>48</v>
      </c>
      <c r="E192">
        <v>12</v>
      </c>
      <c r="F192">
        <v>30409.49</v>
      </c>
      <c r="G192" s="5">
        <f t="shared" ref="G192:H198" si="21">(E192-E190)/E190</f>
        <v>-0.33333333333333331</v>
      </c>
      <c r="H192" s="5">
        <f t="shared" si="21"/>
        <v>-0.43438389776852243</v>
      </c>
    </row>
    <row r="193" spans="1:8" hidden="1" x14ac:dyDescent="0.25">
      <c r="A193" t="s">
        <v>24</v>
      </c>
      <c r="B193">
        <v>202220</v>
      </c>
      <c r="C193" t="s">
        <v>9</v>
      </c>
      <c r="D193" t="s">
        <v>48</v>
      </c>
      <c r="E193">
        <v>7</v>
      </c>
      <c r="F193">
        <v>16110.54</v>
      </c>
      <c r="G193" s="5">
        <f t="shared" si="21"/>
        <v>-0.36363636363636365</v>
      </c>
      <c r="H193" s="5">
        <f t="shared" si="21"/>
        <v>-0.45197454335293935</v>
      </c>
    </row>
    <row r="194" spans="1:8" hidden="1" x14ac:dyDescent="0.25">
      <c r="A194" t="s">
        <v>24</v>
      </c>
      <c r="B194">
        <v>202310</v>
      </c>
      <c r="C194" t="s">
        <v>9</v>
      </c>
      <c r="D194" t="s">
        <v>48</v>
      </c>
      <c r="E194">
        <v>18</v>
      </c>
      <c r="F194">
        <v>49152.53</v>
      </c>
      <c r="G194" s="5">
        <f t="shared" si="21"/>
        <v>0.5</v>
      </c>
      <c r="H194" s="5">
        <f t="shared" si="21"/>
        <v>0.61635496024431835</v>
      </c>
    </row>
    <row r="195" spans="1:8" hidden="1" x14ac:dyDescent="0.25">
      <c r="A195" t="s">
        <v>24</v>
      </c>
      <c r="B195">
        <v>202320</v>
      </c>
      <c r="C195" t="s">
        <v>9</v>
      </c>
      <c r="D195" t="s">
        <v>48</v>
      </c>
      <c r="E195">
        <v>13</v>
      </c>
      <c r="F195">
        <v>34280.33</v>
      </c>
      <c r="G195" s="5">
        <f t="shared" si="21"/>
        <v>0.8571428571428571</v>
      </c>
      <c r="H195" s="5">
        <f t="shared" si="21"/>
        <v>1.12782004824171</v>
      </c>
    </row>
    <row r="196" spans="1:8" hidden="1" x14ac:dyDescent="0.25">
      <c r="A196" t="s">
        <v>24</v>
      </c>
      <c r="B196">
        <v>202410</v>
      </c>
      <c r="C196" t="s">
        <v>9</v>
      </c>
      <c r="D196" t="s">
        <v>48</v>
      </c>
      <c r="E196">
        <v>25</v>
      </c>
      <c r="F196">
        <v>66963.289999999994</v>
      </c>
      <c r="G196" s="5">
        <f t="shared" si="21"/>
        <v>0.3888888888888889</v>
      </c>
      <c r="H196" s="5">
        <f t="shared" si="21"/>
        <v>0.36235693259329671</v>
      </c>
    </row>
    <row r="197" spans="1:8" hidden="1" x14ac:dyDescent="0.25">
      <c r="A197" t="s">
        <v>24</v>
      </c>
      <c r="B197">
        <v>202420</v>
      </c>
      <c r="C197" t="s">
        <v>9</v>
      </c>
      <c r="D197" t="s">
        <v>48</v>
      </c>
      <c r="E197">
        <v>9</v>
      </c>
      <c r="F197">
        <v>20509.3</v>
      </c>
      <c r="G197" s="5">
        <f t="shared" si="21"/>
        <v>-0.30769230769230771</v>
      </c>
      <c r="H197" s="5">
        <f t="shared" si="21"/>
        <v>-0.4017181281510418</v>
      </c>
    </row>
    <row r="198" spans="1:8" hidden="1" x14ac:dyDescent="0.25">
      <c r="A198" t="s">
        <v>24</v>
      </c>
      <c r="B198" s="2">
        <v>202510</v>
      </c>
      <c r="C198" s="2" t="s">
        <v>9</v>
      </c>
      <c r="D198" s="2" t="s">
        <v>48</v>
      </c>
      <c r="E198" s="2">
        <v>23</v>
      </c>
      <c r="F198" s="2">
        <v>60883.6</v>
      </c>
      <c r="G198" s="6">
        <f t="shared" si="21"/>
        <v>-0.08</v>
      </c>
      <c r="H198" s="6">
        <f t="shared" si="21"/>
        <v>-9.0791387340735427E-2</v>
      </c>
    </row>
    <row r="199" spans="1:8" hidden="1" x14ac:dyDescent="0.25">
      <c r="A199" t="s">
        <v>24</v>
      </c>
      <c r="B199">
        <v>202110</v>
      </c>
      <c r="C199" t="s">
        <v>10</v>
      </c>
      <c r="D199" t="s">
        <v>49</v>
      </c>
      <c r="E199">
        <v>151</v>
      </c>
      <c r="F199">
        <v>374073.26</v>
      </c>
    </row>
    <row r="200" spans="1:8" hidden="1" x14ac:dyDescent="0.25">
      <c r="A200" t="s">
        <v>24</v>
      </c>
      <c r="B200">
        <v>202120</v>
      </c>
      <c r="C200" t="s">
        <v>10</v>
      </c>
      <c r="D200" t="s">
        <v>49</v>
      </c>
      <c r="E200">
        <v>80</v>
      </c>
      <c r="F200">
        <v>208430.18</v>
      </c>
    </row>
    <row r="201" spans="1:8" hidden="1" x14ac:dyDescent="0.25">
      <c r="A201" t="s">
        <v>24</v>
      </c>
      <c r="B201">
        <v>202210</v>
      </c>
      <c r="C201" t="s">
        <v>10</v>
      </c>
      <c r="D201" t="s">
        <v>49</v>
      </c>
      <c r="E201">
        <v>132</v>
      </c>
      <c r="F201">
        <v>329798.68</v>
      </c>
      <c r="G201" s="5">
        <f t="shared" ref="G201:H207" si="22">(E201-E199)/E199</f>
        <v>-0.12582781456953643</v>
      </c>
      <c r="H201" s="5">
        <f t="shared" si="22"/>
        <v>-0.11835804569404404</v>
      </c>
    </row>
    <row r="202" spans="1:8" hidden="1" x14ac:dyDescent="0.25">
      <c r="A202" t="s">
        <v>24</v>
      </c>
      <c r="B202">
        <v>202220</v>
      </c>
      <c r="C202" t="s">
        <v>10</v>
      </c>
      <c r="D202" t="s">
        <v>49</v>
      </c>
      <c r="E202">
        <v>91</v>
      </c>
      <c r="F202">
        <v>213216.36</v>
      </c>
      <c r="G202" s="5">
        <f t="shared" si="22"/>
        <v>0.13750000000000001</v>
      </c>
      <c r="H202" s="5">
        <f t="shared" si="22"/>
        <v>2.2962989332926707E-2</v>
      </c>
    </row>
    <row r="203" spans="1:8" hidden="1" x14ac:dyDescent="0.25">
      <c r="A203" t="s">
        <v>24</v>
      </c>
      <c r="B203">
        <v>202310</v>
      </c>
      <c r="C203" t="s">
        <v>10</v>
      </c>
      <c r="D203" t="s">
        <v>49</v>
      </c>
      <c r="E203">
        <v>146</v>
      </c>
      <c r="F203">
        <v>375950.48</v>
      </c>
      <c r="G203" s="5">
        <f t="shared" si="22"/>
        <v>0.10606060606060606</v>
      </c>
      <c r="H203" s="5">
        <f t="shared" si="22"/>
        <v>0.1399393108547311</v>
      </c>
    </row>
    <row r="204" spans="1:8" hidden="1" x14ac:dyDescent="0.25">
      <c r="A204" t="s">
        <v>24</v>
      </c>
      <c r="B204">
        <v>202320</v>
      </c>
      <c r="C204" t="s">
        <v>10</v>
      </c>
      <c r="D204" t="s">
        <v>49</v>
      </c>
      <c r="E204">
        <v>94</v>
      </c>
      <c r="F204">
        <v>209965.25</v>
      </c>
      <c r="G204" s="5">
        <f t="shared" si="22"/>
        <v>3.2967032967032968E-2</v>
      </c>
      <c r="H204" s="5">
        <f t="shared" si="22"/>
        <v>-1.524793876042151E-2</v>
      </c>
    </row>
    <row r="205" spans="1:8" hidden="1" x14ac:dyDescent="0.25">
      <c r="A205" t="s">
        <v>24</v>
      </c>
      <c r="B205">
        <v>202410</v>
      </c>
      <c r="C205" t="s">
        <v>10</v>
      </c>
      <c r="D205" t="s">
        <v>49</v>
      </c>
      <c r="E205">
        <v>165</v>
      </c>
      <c r="F205">
        <v>372315.8</v>
      </c>
      <c r="G205" s="5">
        <f t="shared" si="22"/>
        <v>0.13013698630136986</v>
      </c>
      <c r="H205" s="5">
        <f t="shared" si="22"/>
        <v>-9.6679754205926081E-3</v>
      </c>
    </row>
    <row r="206" spans="1:8" hidden="1" x14ac:dyDescent="0.25">
      <c r="A206" t="s">
        <v>24</v>
      </c>
      <c r="B206">
        <v>202420</v>
      </c>
      <c r="C206" t="s">
        <v>10</v>
      </c>
      <c r="D206" t="s">
        <v>49</v>
      </c>
      <c r="E206">
        <v>92</v>
      </c>
      <c r="F206">
        <v>189505.69</v>
      </c>
      <c r="G206" s="5">
        <f t="shared" si="22"/>
        <v>-2.1276595744680851E-2</v>
      </c>
      <c r="H206" s="5">
        <f t="shared" si="22"/>
        <v>-9.7442600620816999E-2</v>
      </c>
    </row>
    <row r="207" spans="1:8" hidden="1" x14ac:dyDescent="0.25">
      <c r="A207" t="s">
        <v>24</v>
      </c>
      <c r="B207" s="2">
        <v>202510</v>
      </c>
      <c r="C207" s="2" t="s">
        <v>10</v>
      </c>
      <c r="D207" s="2" t="s">
        <v>49</v>
      </c>
      <c r="E207" s="2">
        <v>125</v>
      </c>
      <c r="F207" s="2">
        <v>299433.26</v>
      </c>
      <c r="G207" s="6">
        <f t="shared" si="22"/>
        <v>-0.24242424242424243</v>
      </c>
      <c r="H207" s="6">
        <f t="shared" si="22"/>
        <v>-0.19575462550877504</v>
      </c>
    </row>
    <row r="208" spans="1:8" hidden="1" x14ac:dyDescent="0.25">
      <c r="A208" t="s">
        <v>24</v>
      </c>
      <c r="B208">
        <v>202110</v>
      </c>
      <c r="C208" t="s">
        <v>11</v>
      </c>
      <c r="D208" t="s">
        <v>50</v>
      </c>
      <c r="E208">
        <v>38</v>
      </c>
      <c r="F208">
        <v>98351.53</v>
      </c>
    </row>
    <row r="209" spans="1:8" hidden="1" x14ac:dyDescent="0.25">
      <c r="A209" t="s">
        <v>24</v>
      </c>
      <c r="B209">
        <v>202120</v>
      </c>
      <c r="C209" t="s">
        <v>11</v>
      </c>
      <c r="D209" t="s">
        <v>50</v>
      </c>
      <c r="E209">
        <v>15</v>
      </c>
      <c r="F209">
        <v>40614.06</v>
      </c>
    </row>
    <row r="210" spans="1:8" hidden="1" x14ac:dyDescent="0.25">
      <c r="A210" t="s">
        <v>24</v>
      </c>
      <c r="B210">
        <v>202210</v>
      </c>
      <c r="C210" t="s">
        <v>11</v>
      </c>
      <c r="D210" t="s">
        <v>50</v>
      </c>
      <c r="E210">
        <v>19</v>
      </c>
      <c r="F210">
        <v>46095.39</v>
      </c>
      <c r="G210" s="5">
        <f t="shared" ref="G210:H216" si="23">(E210-E208)/E208</f>
        <v>-0.5</v>
      </c>
      <c r="H210" s="5">
        <f t="shared" si="23"/>
        <v>-0.53132005165552587</v>
      </c>
    </row>
    <row r="211" spans="1:8" hidden="1" x14ac:dyDescent="0.25">
      <c r="A211" t="s">
        <v>24</v>
      </c>
      <c r="B211">
        <v>202220</v>
      </c>
      <c r="C211" t="s">
        <v>11</v>
      </c>
      <c r="D211" t="s">
        <v>50</v>
      </c>
      <c r="E211">
        <v>15</v>
      </c>
      <c r="F211">
        <v>37283.39</v>
      </c>
      <c r="G211" s="5">
        <f t="shared" si="23"/>
        <v>0</v>
      </c>
      <c r="H211" s="5">
        <f t="shared" si="23"/>
        <v>-8.2007807148558862E-2</v>
      </c>
    </row>
    <row r="212" spans="1:8" hidden="1" x14ac:dyDescent="0.25">
      <c r="A212" t="s">
        <v>24</v>
      </c>
      <c r="B212">
        <v>202310</v>
      </c>
      <c r="C212" t="s">
        <v>11</v>
      </c>
      <c r="D212" t="s">
        <v>50</v>
      </c>
      <c r="E212">
        <v>25</v>
      </c>
      <c r="F212">
        <v>69171.62</v>
      </c>
      <c r="G212" s="5">
        <f t="shared" si="23"/>
        <v>0.31578947368421051</v>
      </c>
      <c r="H212" s="5">
        <f t="shared" si="23"/>
        <v>0.50061904238146149</v>
      </c>
    </row>
    <row r="213" spans="1:8" hidden="1" x14ac:dyDescent="0.25">
      <c r="A213" t="s">
        <v>24</v>
      </c>
      <c r="B213">
        <v>202320</v>
      </c>
      <c r="C213" t="s">
        <v>11</v>
      </c>
      <c r="D213" t="s">
        <v>50</v>
      </c>
      <c r="E213">
        <v>19</v>
      </c>
      <c r="F213">
        <v>50634.13</v>
      </c>
      <c r="G213" s="5">
        <f t="shared" si="23"/>
        <v>0.26666666666666666</v>
      </c>
      <c r="H213" s="5">
        <f t="shared" si="23"/>
        <v>0.35808814595453897</v>
      </c>
    </row>
    <row r="214" spans="1:8" hidden="1" x14ac:dyDescent="0.25">
      <c r="A214" t="s">
        <v>24</v>
      </c>
      <c r="B214">
        <v>202410</v>
      </c>
      <c r="C214" t="s">
        <v>11</v>
      </c>
      <c r="D214" t="s">
        <v>50</v>
      </c>
      <c r="E214">
        <v>30</v>
      </c>
      <c r="F214">
        <v>76225.61</v>
      </c>
      <c r="G214" s="5">
        <f t="shared" si="23"/>
        <v>0.2</v>
      </c>
      <c r="H214" s="5">
        <f t="shared" si="23"/>
        <v>0.10197809448441436</v>
      </c>
    </row>
    <row r="215" spans="1:8" hidden="1" x14ac:dyDescent="0.25">
      <c r="A215" t="s">
        <v>24</v>
      </c>
      <c r="B215">
        <v>202420</v>
      </c>
      <c r="C215" t="s">
        <v>11</v>
      </c>
      <c r="D215" t="s">
        <v>50</v>
      </c>
      <c r="E215">
        <v>15</v>
      </c>
      <c r="F215">
        <v>38561.19</v>
      </c>
      <c r="G215" s="5">
        <f t="shared" si="23"/>
        <v>-0.21052631578947367</v>
      </c>
      <c r="H215" s="5">
        <f t="shared" si="23"/>
        <v>-0.23843482646981384</v>
      </c>
    </row>
    <row r="216" spans="1:8" hidden="1" x14ac:dyDescent="0.25">
      <c r="A216" t="s">
        <v>24</v>
      </c>
      <c r="B216" s="2">
        <v>202510</v>
      </c>
      <c r="C216" s="2" t="s">
        <v>11</v>
      </c>
      <c r="D216" s="2" t="s">
        <v>50</v>
      </c>
      <c r="E216" s="2">
        <v>24</v>
      </c>
      <c r="F216" s="2">
        <v>59641.78</v>
      </c>
      <c r="G216" s="6">
        <f t="shared" si="23"/>
        <v>-0.2</v>
      </c>
      <c r="H216" s="6">
        <f t="shared" si="23"/>
        <v>-0.21756244390828755</v>
      </c>
    </row>
    <row r="217" spans="1:8" hidden="1" x14ac:dyDescent="0.25">
      <c r="A217" t="s">
        <v>24</v>
      </c>
      <c r="B217">
        <v>202110</v>
      </c>
      <c r="C217" t="s">
        <v>11</v>
      </c>
      <c r="D217" t="s">
        <v>51</v>
      </c>
      <c r="E217">
        <v>25</v>
      </c>
      <c r="F217">
        <v>63305.84</v>
      </c>
    </row>
    <row r="218" spans="1:8" hidden="1" x14ac:dyDescent="0.25">
      <c r="A218" t="s">
        <v>24</v>
      </c>
      <c r="B218">
        <v>202120</v>
      </c>
      <c r="C218" t="s">
        <v>11</v>
      </c>
      <c r="D218" t="s">
        <v>51</v>
      </c>
      <c r="E218">
        <v>8</v>
      </c>
      <c r="F218">
        <v>18844.05</v>
      </c>
    </row>
    <row r="219" spans="1:8" hidden="1" x14ac:dyDescent="0.25">
      <c r="A219" t="s">
        <v>24</v>
      </c>
      <c r="B219">
        <v>202210</v>
      </c>
      <c r="C219" t="s">
        <v>11</v>
      </c>
      <c r="D219" t="s">
        <v>51</v>
      </c>
      <c r="E219">
        <v>8</v>
      </c>
      <c r="F219">
        <v>19270.169999999998</v>
      </c>
      <c r="G219" s="5">
        <f t="shared" ref="G219:H225" si="24">(E219-E217)/E217</f>
        <v>-0.68</v>
      </c>
      <c r="H219" s="5">
        <f t="shared" si="24"/>
        <v>-0.69560201712827763</v>
      </c>
    </row>
    <row r="220" spans="1:8" hidden="1" x14ac:dyDescent="0.25">
      <c r="A220" t="s">
        <v>24</v>
      </c>
      <c r="B220">
        <v>202220</v>
      </c>
      <c r="C220" t="s">
        <v>11</v>
      </c>
      <c r="D220" t="s">
        <v>51</v>
      </c>
      <c r="E220">
        <v>6</v>
      </c>
      <c r="F220">
        <v>15617.88</v>
      </c>
      <c r="G220" s="5">
        <f t="shared" si="24"/>
        <v>-0.25</v>
      </c>
      <c r="H220" s="5">
        <f t="shared" si="24"/>
        <v>-0.17120364252907416</v>
      </c>
    </row>
    <row r="221" spans="1:8" hidden="1" x14ac:dyDescent="0.25">
      <c r="A221" t="s">
        <v>24</v>
      </c>
      <c r="B221">
        <v>202310</v>
      </c>
      <c r="C221" t="s">
        <v>11</v>
      </c>
      <c r="D221" t="s">
        <v>51</v>
      </c>
      <c r="E221">
        <v>9</v>
      </c>
      <c r="F221">
        <v>24080.3</v>
      </c>
      <c r="G221" s="5">
        <f t="shared" si="24"/>
        <v>0.125</v>
      </c>
      <c r="H221" s="5">
        <f t="shared" si="24"/>
        <v>0.24961533811066541</v>
      </c>
    </row>
    <row r="222" spans="1:8" hidden="1" x14ac:dyDescent="0.25">
      <c r="A222" t="s">
        <v>24</v>
      </c>
      <c r="B222">
        <v>202320</v>
      </c>
      <c r="C222" t="s">
        <v>11</v>
      </c>
      <c r="D222" t="s">
        <v>51</v>
      </c>
      <c r="E222">
        <v>7</v>
      </c>
      <c r="F222">
        <v>16637.89</v>
      </c>
      <c r="G222" s="5">
        <f t="shared" si="24"/>
        <v>0.16666666666666666</v>
      </c>
      <c r="H222" s="5">
        <f t="shared" si="24"/>
        <v>6.5310400643365185E-2</v>
      </c>
    </row>
    <row r="223" spans="1:8" hidden="1" x14ac:dyDescent="0.25">
      <c r="A223" t="s">
        <v>24</v>
      </c>
      <c r="B223">
        <v>202410</v>
      </c>
      <c r="C223" t="s">
        <v>11</v>
      </c>
      <c r="D223" t="s">
        <v>51</v>
      </c>
      <c r="E223">
        <v>16</v>
      </c>
      <c r="F223">
        <v>44459.24</v>
      </c>
      <c r="G223" s="5">
        <f t="shared" si="24"/>
        <v>0.77777777777777779</v>
      </c>
      <c r="H223" s="5">
        <f t="shared" si="24"/>
        <v>0.84629095152469025</v>
      </c>
    </row>
    <row r="224" spans="1:8" hidden="1" x14ac:dyDescent="0.25">
      <c r="A224" t="s">
        <v>24</v>
      </c>
      <c r="B224">
        <v>202420</v>
      </c>
      <c r="C224" t="s">
        <v>11</v>
      </c>
      <c r="D224" t="s">
        <v>51</v>
      </c>
      <c r="E224">
        <v>9</v>
      </c>
      <c r="F224">
        <v>22119.16</v>
      </c>
      <c r="G224" s="5">
        <f t="shared" si="24"/>
        <v>0.2857142857142857</v>
      </c>
      <c r="H224" s="5">
        <f t="shared" si="24"/>
        <v>0.32944501977113688</v>
      </c>
    </row>
    <row r="225" spans="1:8" hidden="1" x14ac:dyDescent="0.25">
      <c r="A225" t="s">
        <v>24</v>
      </c>
      <c r="B225" s="2">
        <v>202510</v>
      </c>
      <c r="C225" s="2" t="s">
        <v>11</v>
      </c>
      <c r="D225" s="2" t="s">
        <v>51</v>
      </c>
      <c r="E225" s="2">
        <v>11</v>
      </c>
      <c r="F225" s="2">
        <v>26561.13</v>
      </c>
      <c r="G225" s="6">
        <f t="shared" si="24"/>
        <v>-0.3125</v>
      </c>
      <c r="H225" s="6">
        <f t="shared" si="24"/>
        <v>-0.40257345829573332</v>
      </c>
    </row>
    <row r="226" spans="1:8" hidden="1" x14ac:dyDescent="0.25">
      <c r="A226" t="s">
        <v>24</v>
      </c>
      <c r="B226">
        <v>202110</v>
      </c>
      <c r="C226" t="s">
        <v>11</v>
      </c>
      <c r="D226" t="s">
        <v>52</v>
      </c>
      <c r="E226">
        <v>54</v>
      </c>
      <c r="F226">
        <v>128056.76</v>
      </c>
    </row>
    <row r="227" spans="1:8" hidden="1" x14ac:dyDescent="0.25">
      <c r="A227" t="s">
        <v>24</v>
      </c>
      <c r="B227">
        <v>202120</v>
      </c>
      <c r="C227" t="s">
        <v>11</v>
      </c>
      <c r="D227" t="s">
        <v>52</v>
      </c>
      <c r="E227">
        <v>15</v>
      </c>
      <c r="F227">
        <v>34513.449999999997</v>
      </c>
    </row>
    <row r="228" spans="1:8" hidden="1" x14ac:dyDescent="0.25">
      <c r="A228" t="s">
        <v>24</v>
      </c>
      <c r="B228">
        <v>202210</v>
      </c>
      <c r="C228" t="s">
        <v>11</v>
      </c>
      <c r="D228" t="s">
        <v>52</v>
      </c>
      <c r="E228">
        <v>43</v>
      </c>
      <c r="F228">
        <v>91755.7</v>
      </c>
      <c r="G228" s="5">
        <f t="shared" ref="G228:H234" si="25">(E228-E226)/E226</f>
        <v>-0.20370370370370369</v>
      </c>
      <c r="H228" s="5">
        <f t="shared" si="25"/>
        <v>-0.28347632721615007</v>
      </c>
    </row>
    <row r="229" spans="1:8" hidden="1" x14ac:dyDescent="0.25">
      <c r="A229" t="s">
        <v>24</v>
      </c>
      <c r="B229">
        <v>202220</v>
      </c>
      <c r="C229" t="s">
        <v>11</v>
      </c>
      <c r="D229" t="s">
        <v>52</v>
      </c>
      <c r="E229">
        <v>26</v>
      </c>
      <c r="F229">
        <v>56458.9</v>
      </c>
      <c r="G229" s="5">
        <f t="shared" si="25"/>
        <v>0.73333333333333328</v>
      </c>
      <c r="H229" s="5">
        <f t="shared" si="25"/>
        <v>0.63585210982964635</v>
      </c>
    </row>
    <row r="230" spans="1:8" hidden="1" x14ac:dyDescent="0.25">
      <c r="A230" t="s">
        <v>24</v>
      </c>
      <c r="B230">
        <v>202310</v>
      </c>
      <c r="C230" t="s">
        <v>11</v>
      </c>
      <c r="D230" t="s">
        <v>52</v>
      </c>
      <c r="E230">
        <v>56</v>
      </c>
      <c r="F230">
        <v>121791.71</v>
      </c>
      <c r="G230" s="5">
        <f t="shared" si="25"/>
        <v>0.30232558139534882</v>
      </c>
      <c r="H230" s="5">
        <f t="shared" si="25"/>
        <v>0.32734761982089405</v>
      </c>
    </row>
    <row r="231" spans="1:8" hidden="1" x14ac:dyDescent="0.25">
      <c r="A231" t="s">
        <v>24</v>
      </c>
      <c r="B231">
        <v>202320</v>
      </c>
      <c r="C231" t="s">
        <v>11</v>
      </c>
      <c r="D231" t="s">
        <v>52</v>
      </c>
      <c r="E231">
        <v>25</v>
      </c>
      <c r="F231">
        <v>55513.88</v>
      </c>
      <c r="G231" s="5">
        <f t="shared" si="25"/>
        <v>-3.8461538461538464E-2</v>
      </c>
      <c r="H231" s="5">
        <f t="shared" si="25"/>
        <v>-1.6738193624034545E-2</v>
      </c>
    </row>
    <row r="232" spans="1:8" hidden="1" x14ac:dyDescent="0.25">
      <c r="A232" t="s">
        <v>24</v>
      </c>
      <c r="B232">
        <v>202410</v>
      </c>
      <c r="C232" t="s">
        <v>11</v>
      </c>
      <c r="D232" t="s">
        <v>52</v>
      </c>
      <c r="E232">
        <v>64</v>
      </c>
      <c r="F232">
        <v>151516.29</v>
      </c>
      <c r="G232" s="5">
        <f t="shared" si="25"/>
        <v>0.14285714285714285</v>
      </c>
      <c r="H232" s="5">
        <f t="shared" si="25"/>
        <v>0.24406078213369367</v>
      </c>
    </row>
    <row r="233" spans="1:8" hidden="1" x14ac:dyDescent="0.25">
      <c r="A233" t="s">
        <v>24</v>
      </c>
      <c r="B233">
        <v>202420</v>
      </c>
      <c r="C233" t="s">
        <v>11</v>
      </c>
      <c r="D233" t="s">
        <v>52</v>
      </c>
      <c r="E233">
        <v>19</v>
      </c>
      <c r="F233">
        <v>45033.52</v>
      </c>
      <c r="G233" s="5">
        <f t="shared" si="25"/>
        <v>-0.24</v>
      </c>
      <c r="H233" s="5">
        <f t="shared" si="25"/>
        <v>-0.18878810128205778</v>
      </c>
    </row>
    <row r="234" spans="1:8" hidden="1" x14ac:dyDescent="0.25">
      <c r="A234" t="s">
        <v>24</v>
      </c>
      <c r="B234" s="2">
        <v>202510</v>
      </c>
      <c r="C234" s="2" t="s">
        <v>11</v>
      </c>
      <c r="D234" s="2" t="s">
        <v>53</v>
      </c>
      <c r="E234" s="2">
        <v>55</v>
      </c>
      <c r="F234" s="2">
        <v>126747.72</v>
      </c>
      <c r="G234" s="6">
        <f t="shared" si="25"/>
        <v>-0.140625</v>
      </c>
      <c r="H234" s="6">
        <f t="shared" si="25"/>
        <v>-0.16347133367639879</v>
      </c>
    </row>
    <row r="235" spans="1:8" hidden="1" x14ac:dyDescent="0.25">
      <c r="A235" t="s">
        <v>24</v>
      </c>
      <c r="B235">
        <v>202110</v>
      </c>
      <c r="C235" t="s">
        <v>11</v>
      </c>
      <c r="D235" t="s">
        <v>54</v>
      </c>
      <c r="E235">
        <v>16</v>
      </c>
      <c r="F235">
        <v>38754.68</v>
      </c>
    </row>
    <row r="236" spans="1:8" hidden="1" x14ac:dyDescent="0.25">
      <c r="A236" t="s">
        <v>24</v>
      </c>
      <c r="B236">
        <v>202120</v>
      </c>
      <c r="C236" t="s">
        <v>11</v>
      </c>
      <c r="D236" t="s">
        <v>54</v>
      </c>
      <c r="E236">
        <v>6</v>
      </c>
      <c r="F236">
        <v>12175.8</v>
      </c>
    </row>
    <row r="237" spans="1:8" hidden="1" x14ac:dyDescent="0.25">
      <c r="A237" t="s">
        <v>24</v>
      </c>
      <c r="B237">
        <v>202210</v>
      </c>
      <c r="C237" t="s">
        <v>11</v>
      </c>
      <c r="D237" t="s">
        <v>54</v>
      </c>
      <c r="E237">
        <v>12</v>
      </c>
      <c r="F237">
        <v>26173.439999999999</v>
      </c>
      <c r="G237" s="5">
        <f t="shared" ref="G237:H243" si="26">(E237-E235)/E235</f>
        <v>-0.25</v>
      </c>
      <c r="H237" s="5">
        <f t="shared" si="26"/>
        <v>-0.32463795340330515</v>
      </c>
    </row>
    <row r="238" spans="1:8" hidden="1" x14ac:dyDescent="0.25">
      <c r="A238" t="s">
        <v>24</v>
      </c>
      <c r="B238">
        <v>202220</v>
      </c>
      <c r="C238" t="s">
        <v>11</v>
      </c>
      <c r="D238" t="s">
        <v>54</v>
      </c>
      <c r="E238">
        <v>11</v>
      </c>
      <c r="F238">
        <v>21715.9</v>
      </c>
      <c r="G238" s="5">
        <f t="shared" si="26"/>
        <v>0.83333333333333337</v>
      </c>
      <c r="H238" s="5">
        <f t="shared" si="26"/>
        <v>0.7835296243367994</v>
      </c>
    </row>
    <row r="239" spans="1:8" hidden="1" x14ac:dyDescent="0.25">
      <c r="A239" t="s">
        <v>24</v>
      </c>
      <c r="B239">
        <v>202310</v>
      </c>
      <c r="C239" t="s">
        <v>11</v>
      </c>
      <c r="D239" t="s">
        <v>54</v>
      </c>
      <c r="E239">
        <v>30</v>
      </c>
      <c r="F239">
        <v>68715.22</v>
      </c>
      <c r="G239" s="5">
        <f t="shared" si="26"/>
        <v>1.5</v>
      </c>
      <c r="H239" s="5">
        <f t="shared" si="26"/>
        <v>1.6253797743055556</v>
      </c>
    </row>
    <row r="240" spans="1:8" hidden="1" x14ac:dyDescent="0.25">
      <c r="A240" t="s">
        <v>24</v>
      </c>
      <c r="B240">
        <v>202320</v>
      </c>
      <c r="C240" t="s">
        <v>11</v>
      </c>
      <c r="D240" t="s">
        <v>54</v>
      </c>
      <c r="E240">
        <v>26</v>
      </c>
      <c r="F240">
        <v>51406.559999999998</v>
      </c>
      <c r="G240" s="5">
        <f t="shared" si="26"/>
        <v>1.3636363636363635</v>
      </c>
      <c r="H240" s="5">
        <f t="shared" si="26"/>
        <v>1.3672313834563612</v>
      </c>
    </row>
    <row r="241" spans="1:8" hidden="1" x14ac:dyDescent="0.25">
      <c r="A241" t="s">
        <v>24</v>
      </c>
      <c r="B241">
        <v>202410</v>
      </c>
      <c r="C241" t="s">
        <v>11</v>
      </c>
      <c r="D241" t="s">
        <v>54</v>
      </c>
      <c r="E241">
        <v>49</v>
      </c>
      <c r="F241">
        <v>107311.71</v>
      </c>
      <c r="G241" s="5">
        <f t="shared" si="26"/>
        <v>0.6333333333333333</v>
      </c>
      <c r="H241" s="5">
        <f t="shared" si="26"/>
        <v>0.56168764358172762</v>
      </c>
    </row>
    <row r="242" spans="1:8" hidden="1" x14ac:dyDescent="0.25">
      <c r="A242" t="s">
        <v>24</v>
      </c>
      <c r="B242">
        <v>202420</v>
      </c>
      <c r="C242" t="s">
        <v>11</v>
      </c>
      <c r="D242" t="s">
        <v>54</v>
      </c>
      <c r="E242">
        <v>42</v>
      </c>
      <c r="F242">
        <v>81024.759999999995</v>
      </c>
      <c r="G242" s="5">
        <f t="shared" si="26"/>
        <v>0.61538461538461542</v>
      </c>
      <c r="H242" s="5">
        <f t="shared" si="26"/>
        <v>0.57615603922923453</v>
      </c>
    </row>
    <row r="243" spans="1:8" hidden="1" x14ac:dyDescent="0.25">
      <c r="A243" t="s">
        <v>24</v>
      </c>
      <c r="B243" s="2">
        <v>202510</v>
      </c>
      <c r="C243" s="2" t="s">
        <v>11</v>
      </c>
      <c r="D243" s="2" t="s">
        <v>54</v>
      </c>
      <c r="E243" s="2">
        <v>54</v>
      </c>
      <c r="F243" s="2">
        <v>109337.98</v>
      </c>
      <c r="G243" s="6">
        <f t="shared" si="26"/>
        <v>0.10204081632653061</v>
      </c>
      <c r="H243" s="6">
        <f t="shared" si="26"/>
        <v>1.8882095905470051E-2</v>
      </c>
    </row>
    <row r="244" spans="1:8" hidden="1" x14ac:dyDescent="0.25">
      <c r="A244" t="s">
        <v>24</v>
      </c>
      <c r="B244">
        <v>202110</v>
      </c>
      <c r="C244" t="s">
        <v>11</v>
      </c>
      <c r="D244" t="s">
        <v>55</v>
      </c>
      <c r="E244">
        <v>19</v>
      </c>
      <c r="F244">
        <v>51033.81</v>
      </c>
    </row>
    <row r="245" spans="1:8" hidden="1" x14ac:dyDescent="0.25">
      <c r="A245" t="s">
        <v>24</v>
      </c>
      <c r="B245">
        <v>202120</v>
      </c>
      <c r="C245" t="s">
        <v>11</v>
      </c>
      <c r="D245" t="s">
        <v>55</v>
      </c>
      <c r="E245">
        <v>7</v>
      </c>
      <c r="F245">
        <v>16991.02</v>
      </c>
    </row>
    <row r="246" spans="1:8" hidden="1" x14ac:dyDescent="0.25">
      <c r="A246" t="s">
        <v>24</v>
      </c>
      <c r="B246">
        <v>202210</v>
      </c>
      <c r="C246" t="s">
        <v>11</v>
      </c>
      <c r="D246" t="s">
        <v>55</v>
      </c>
      <c r="E246">
        <v>33</v>
      </c>
      <c r="F246">
        <v>85033.56</v>
      </c>
      <c r="G246" s="5">
        <f t="shared" ref="G246:H252" si="27">(E246-E244)/E244</f>
        <v>0.73684210526315785</v>
      </c>
      <c r="H246" s="5">
        <f t="shared" si="27"/>
        <v>0.66622009996902054</v>
      </c>
    </row>
    <row r="247" spans="1:8" hidden="1" x14ac:dyDescent="0.25">
      <c r="A247" t="s">
        <v>24</v>
      </c>
      <c r="B247">
        <v>202220</v>
      </c>
      <c r="C247" t="s">
        <v>11</v>
      </c>
      <c r="D247" t="s">
        <v>55</v>
      </c>
      <c r="E247">
        <v>13</v>
      </c>
      <c r="F247">
        <v>33178.81</v>
      </c>
      <c r="G247" s="5">
        <f t="shared" si="27"/>
        <v>0.8571428571428571</v>
      </c>
      <c r="H247" s="5">
        <f t="shared" si="27"/>
        <v>0.95272620478346781</v>
      </c>
    </row>
    <row r="248" spans="1:8" hidden="1" x14ac:dyDescent="0.25">
      <c r="A248" t="s">
        <v>24</v>
      </c>
      <c r="B248">
        <v>202310</v>
      </c>
      <c r="C248" t="s">
        <v>11</v>
      </c>
      <c r="D248" t="s">
        <v>55</v>
      </c>
      <c r="E248">
        <v>44</v>
      </c>
      <c r="F248">
        <v>114176.18</v>
      </c>
      <c r="G248" s="5">
        <f t="shared" si="27"/>
        <v>0.33333333333333331</v>
      </c>
      <c r="H248" s="5">
        <f t="shared" si="27"/>
        <v>0.34271903940044374</v>
      </c>
    </row>
    <row r="249" spans="1:8" hidden="1" x14ac:dyDescent="0.25">
      <c r="A249" t="s">
        <v>24</v>
      </c>
      <c r="B249">
        <v>202320</v>
      </c>
      <c r="C249" t="s">
        <v>11</v>
      </c>
      <c r="D249" t="s">
        <v>55</v>
      </c>
      <c r="E249">
        <v>21</v>
      </c>
      <c r="F249">
        <v>57929.65</v>
      </c>
      <c r="G249" s="5">
        <f t="shared" si="27"/>
        <v>0.61538461538461542</v>
      </c>
      <c r="H249" s="5">
        <f t="shared" si="27"/>
        <v>0.7459833550389543</v>
      </c>
    </row>
    <row r="250" spans="1:8" hidden="1" x14ac:dyDescent="0.25">
      <c r="A250" t="s">
        <v>24</v>
      </c>
      <c r="B250">
        <v>202410</v>
      </c>
      <c r="C250" t="s">
        <v>11</v>
      </c>
      <c r="D250" t="s">
        <v>55</v>
      </c>
      <c r="E250">
        <v>43</v>
      </c>
      <c r="F250">
        <v>114692.9</v>
      </c>
      <c r="G250" s="5">
        <f t="shared" si="27"/>
        <v>-2.2727272727272728E-2</v>
      </c>
      <c r="H250" s="5">
        <f t="shared" si="27"/>
        <v>4.5256374841057146E-3</v>
      </c>
    </row>
    <row r="251" spans="1:8" hidden="1" x14ac:dyDescent="0.25">
      <c r="A251" t="s">
        <v>24</v>
      </c>
      <c r="B251">
        <v>202420</v>
      </c>
      <c r="C251" t="s">
        <v>11</v>
      </c>
      <c r="D251" t="s">
        <v>55</v>
      </c>
      <c r="E251">
        <v>23</v>
      </c>
      <c r="F251">
        <v>55562.43</v>
      </c>
      <c r="G251" s="5">
        <f t="shared" si="27"/>
        <v>9.5238095238095233E-2</v>
      </c>
      <c r="H251" s="5">
        <f t="shared" si="27"/>
        <v>-4.0863702784325488E-2</v>
      </c>
    </row>
    <row r="252" spans="1:8" hidden="1" x14ac:dyDescent="0.25">
      <c r="A252" t="s">
        <v>24</v>
      </c>
      <c r="B252" s="2">
        <v>202510</v>
      </c>
      <c r="C252" s="2" t="s">
        <v>11</v>
      </c>
      <c r="D252" s="2" t="s">
        <v>56</v>
      </c>
      <c r="E252" s="2">
        <v>43</v>
      </c>
      <c r="F252" s="2">
        <v>115420.18</v>
      </c>
      <c r="G252" s="6">
        <f t="shared" si="27"/>
        <v>0</v>
      </c>
      <c r="H252" s="6">
        <f t="shared" si="27"/>
        <v>6.3411074268764573E-3</v>
      </c>
    </row>
    <row r="253" spans="1:8" hidden="1" x14ac:dyDescent="0.25">
      <c r="A253" t="s">
        <v>24</v>
      </c>
      <c r="B253">
        <v>202110</v>
      </c>
      <c r="C253" t="s">
        <v>11</v>
      </c>
      <c r="D253" t="s">
        <v>57</v>
      </c>
      <c r="E253">
        <v>70</v>
      </c>
      <c r="F253">
        <v>177765.86</v>
      </c>
    </row>
    <row r="254" spans="1:8" hidden="1" x14ac:dyDescent="0.25">
      <c r="A254" t="s">
        <v>24</v>
      </c>
      <c r="B254">
        <v>202120</v>
      </c>
      <c r="C254" t="s">
        <v>11</v>
      </c>
      <c r="D254" t="s">
        <v>57</v>
      </c>
      <c r="E254">
        <v>18</v>
      </c>
      <c r="F254">
        <v>41894.980000000003</v>
      </c>
    </row>
    <row r="255" spans="1:8" hidden="1" x14ac:dyDescent="0.25">
      <c r="A255" t="s">
        <v>24</v>
      </c>
      <c r="B255">
        <v>202210</v>
      </c>
      <c r="C255" t="s">
        <v>11</v>
      </c>
      <c r="D255" t="s">
        <v>57</v>
      </c>
      <c r="E255">
        <v>34</v>
      </c>
      <c r="F255">
        <v>89124.01</v>
      </c>
      <c r="G255" s="5">
        <f t="shared" ref="G255:H261" si="28">(E255-E253)/E253</f>
        <v>-0.51428571428571423</v>
      </c>
      <c r="H255" s="5">
        <f t="shared" si="28"/>
        <v>-0.49864383408602753</v>
      </c>
    </row>
    <row r="256" spans="1:8" hidden="1" x14ac:dyDescent="0.25">
      <c r="A256" t="s">
        <v>24</v>
      </c>
      <c r="B256">
        <v>202220</v>
      </c>
      <c r="C256" t="s">
        <v>11</v>
      </c>
      <c r="D256" t="s">
        <v>57</v>
      </c>
      <c r="E256">
        <v>23</v>
      </c>
      <c r="F256">
        <v>55489.49</v>
      </c>
      <c r="G256" s="5">
        <f t="shared" si="28"/>
        <v>0.27777777777777779</v>
      </c>
      <c r="H256" s="5">
        <f t="shared" si="28"/>
        <v>0.32449018951673908</v>
      </c>
    </row>
    <row r="257" spans="1:8" hidden="1" x14ac:dyDescent="0.25">
      <c r="A257" t="s">
        <v>24</v>
      </c>
      <c r="B257">
        <v>202310</v>
      </c>
      <c r="C257" t="s">
        <v>11</v>
      </c>
      <c r="D257" t="s">
        <v>57</v>
      </c>
      <c r="E257">
        <v>38</v>
      </c>
      <c r="F257">
        <v>97367.23</v>
      </c>
      <c r="G257" s="5">
        <f t="shared" si="28"/>
        <v>0.11764705882352941</v>
      </c>
      <c r="H257" s="5">
        <f t="shared" si="28"/>
        <v>9.2491574380461586E-2</v>
      </c>
    </row>
    <row r="258" spans="1:8" hidden="1" x14ac:dyDescent="0.25">
      <c r="A258" t="s">
        <v>24</v>
      </c>
      <c r="B258">
        <v>202320</v>
      </c>
      <c r="C258" t="s">
        <v>11</v>
      </c>
      <c r="D258" t="s">
        <v>57</v>
      </c>
      <c r="E258">
        <v>19</v>
      </c>
      <c r="F258">
        <v>49536.38</v>
      </c>
      <c r="G258" s="5">
        <f t="shared" si="28"/>
        <v>-0.17391304347826086</v>
      </c>
      <c r="H258" s="5">
        <f t="shared" si="28"/>
        <v>-0.10728355946324251</v>
      </c>
    </row>
    <row r="259" spans="1:8" hidden="1" x14ac:dyDescent="0.25">
      <c r="A259" t="s">
        <v>24</v>
      </c>
      <c r="B259">
        <v>202410</v>
      </c>
      <c r="C259" t="s">
        <v>11</v>
      </c>
      <c r="D259" t="s">
        <v>57</v>
      </c>
      <c r="E259">
        <v>44</v>
      </c>
      <c r="F259">
        <v>109638.65</v>
      </c>
      <c r="G259" s="5">
        <f t="shared" si="28"/>
        <v>0.15789473684210525</v>
      </c>
      <c r="H259" s="5">
        <f t="shared" si="28"/>
        <v>0.12603234168210392</v>
      </c>
    </row>
    <row r="260" spans="1:8" hidden="1" x14ac:dyDescent="0.25">
      <c r="A260" t="s">
        <v>24</v>
      </c>
      <c r="B260">
        <v>202420</v>
      </c>
      <c r="C260" t="s">
        <v>11</v>
      </c>
      <c r="D260" t="s">
        <v>57</v>
      </c>
      <c r="E260">
        <v>17</v>
      </c>
      <c r="F260">
        <v>40931.01</v>
      </c>
      <c r="G260" s="5">
        <f t="shared" si="28"/>
        <v>-0.10526315789473684</v>
      </c>
      <c r="H260" s="5">
        <f t="shared" si="28"/>
        <v>-0.17371818449390117</v>
      </c>
    </row>
    <row r="261" spans="1:8" hidden="1" x14ac:dyDescent="0.25">
      <c r="A261" t="s">
        <v>24</v>
      </c>
      <c r="B261" s="2">
        <v>202510</v>
      </c>
      <c r="C261" s="2" t="s">
        <v>11</v>
      </c>
      <c r="D261" s="2" t="s">
        <v>57</v>
      </c>
      <c r="E261" s="2">
        <v>42</v>
      </c>
      <c r="F261" s="2">
        <v>103782.89</v>
      </c>
      <c r="G261" s="6">
        <f t="shared" si="28"/>
        <v>-4.5454545454545456E-2</v>
      </c>
      <c r="H261" s="6">
        <f t="shared" si="28"/>
        <v>-5.3409632460815551E-2</v>
      </c>
    </row>
    <row r="262" spans="1:8" hidden="1" x14ac:dyDescent="0.25">
      <c r="A262" t="s">
        <v>24</v>
      </c>
      <c r="B262" s="3">
        <v>202510</v>
      </c>
      <c r="C262" s="3" t="s">
        <v>11</v>
      </c>
      <c r="D262" s="3" t="s">
        <v>58</v>
      </c>
      <c r="E262" s="3">
        <v>20</v>
      </c>
      <c r="F262" s="3">
        <v>45982.68</v>
      </c>
      <c r="G262" s="6"/>
      <c r="H262" s="6"/>
    </row>
    <row r="263" spans="1:8" hidden="1" x14ac:dyDescent="0.25">
      <c r="A263" t="s">
        <v>24</v>
      </c>
      <c r="B263">
        <v>202110</v>
      </c>
      <c r="C263" t="s">
        <v>11</v>
      </c>
      <c r="D263" t="s">
        <v>59</v>
      </c>
      <c r="E263">
        <v>14</v>
      </c>
      <c r="F263">
        <v>28949.87</v>
      </c>
    </row>
    <row r="264" spans="1:8" hidden="1" x14ac:dyDescent="0.25">
      <c r="A264" t="s">
        <v>24</v>
      </c>
      <c r="B264">
        <v>202120</v>
      </c>
      <c r="C264" t="s">
        <v>11</v>
      </c>
      <c r="D264" t="s">
        <v>59</v>
      </c>
      <c r="E264">
        <v>12</v>
      </c>
      <c r="F264">
        <v>28163.91</v>
      </c>
    </row>
    <row r="265" spans="1:8" hidden="1" x14ac:dyDescent="0.25">
      <c r="A265" t="s">
        <v>24</v>
      </c>
      <c r="B265">
        <v>202210</v>
      </c>
      <c r="C265" t="s">
        <v>11</v>
      </c>
      <c r="D265" t="s">
        <v>59</v>
      </c>
      <c r="E265">
        <v>11</v>
      </c>
      <c r="F265">
        <v>26536.04</v>
      </c>
      <c r="G265" s="5">
        <f t="shared" ref="G265:H271" si="29">(E265-E263)/E263</f>
        <v>-0.21428571428571427</v>
      </c>
      <c r="H265" s="5">
        <f t="shared" si="29"/>
        <v>-8.3379649027784858E-2</v>
      </c>
    </row>
    <row r="266" spans="1:8" hidden="1" x14ac:dyDescent="0.25">
      <c r="A266" t="s">
        <v>24</v>
      </c>
      <c r="B266">
        <v>202220</v>
      </c>
      <c r="C266" t="s">
        <v>11</v>
      </c>
      <c r="D266" t="s">
        <v>59</v>
      </c>
      <c r="E266">
        <v>8</v>
      </c>
      <c r="F266">
        <v>13118.51</v>
      </c>
      <c r="G266" s="5">
        <f t="shared" si="29"/>
        <v>-0.33333333333333331</v>
      </c>
      <c r="H266" s="5">
        <f t="shared" si="29"/>
        <v>-0.53420849590841613</v>
      </c>
    </row>
    <row r="267" spans="1:8" hidden="1" x14ac:dyDescent="0.25">
      <c r="A267" t="s">
        <v>24</v>
      </c>
      <c r="B267">
        <v>202310</v>
      </c>
      <c r="C267" t="s">
        <v>11</v>
      </c>
      <c r="D267" t="s">
        <v>59</v>
      </c>
      <c r="E267">
        <v>9</v>
      </c>
      <c r="F267">
        <v>21154.59</v>
      </c>
      <c r="G267" s="5">
        <f t="shared" si="29"/>
        <v>-0.18181818181818182</v>
      </c>
      <c r="H267" s="5">
        <f t="shared" si="29"/>
        <v>-0.20279777992496245</v>
      </c>
    </row>
    <row r="268" spans="1:8" hidden="1" x14ac:dyDescent="0.25">
      <c r="A268" t="s">
        <v>24</v>
      </c>
      <c r="B268">
        <v>202320</v>
      </c>
      <c r="C268" t="s">
        <v>11</v>
      </c>
      <c r="D268" t="s">
        <v>59</v>
      </c>
      <c r="E268">
        <v>4</v>
      </c>
      <c r="F268">
        <v>8221.07</v>
      </c>
      <c r="G268" s="5">
        <f t="shared" si="29"/>
        <v>-0.5</v>
      </c>
      <c r="H268" s="5">
        <f t="shared" si="29"/>
        <v>-0.37332288499227428</v>
      </c>
    </row>
    <row r="269" spans="1:8" hidden="1" x14ac:dyDescent="0.25">
      <c r="A269" t="s">
        <v>24</v>
      </c>
      <c r="B269">
        <v>202410</v>
      </c>
      <c r="C269" t="s">
        <v>11</v>
      </c>
      <c r="D269" t="s">
        <v>59</v>
      </c>
      <c r="E269">
        <v>10</v>
      </c>
      <c r="F269">
        <v>21564.33</v>
      </c>
      <c r="G269" s="5">
        <f t="shared" si="29"/>
        <v>0.1111111111111111</v>
      </c>
      <c r="H269" s="5">
        <f t="shared" si="29"/>
        <v>1.9368846193663011E-2</v>
      </c>
    </row>
    <row r="270" spans="1:8" hidden="1" x14ac:dyDescent="0.25">
      <c r="A270" t="s">
        <v>24</v>
      </c>
      <c r="B270">
        <v>202420</v>
      </c>
      <c r="C270" t="s">
        <v>11</v>
      </c>
      <c r="D270" t="s">
        <v>59</v>
      </c>
      <c r="E270">
        <v>6</v>
      </c>
      <c r="F270">
        <v>14174.66</v>
      </c>
      <c r="G270" s="5">
        <f t="shared" si="29"/>
        <v>0.5</v>
      </c>
      <c r="H270" s="5">
        <f t="shared" si="29"/>
        <v>0.7241867542789443</v>
      </c>
    </row>
    <row r="271" spans="1:8" hidden="1" x14ac:dyDescent="0.25">
      <c r="A271" t="s">
        <v>24</v>
      </c>
      <c r="B271" s="2">
        <v>202510</v>
      </c>
      <c r="C271" s="2" t="s">
        <v>11</v>
      </c>
      <c r="D271" s="2" t="s">
        <v>59</v>
      </c>
      <c r="E271" s="2">
        <v>6</v>
      </c>
      <c r="F271" s="2">
        <v>12799.31</v>
      </c>
      <c r="G271" s="6">
        <f t="shared" si="29"/>
        <v>-0.4</v>
      </c>
      <c r="H271" s="6">
        <f t="shared" si="29"/>
        <v>-0.40645918514509849</v>
      </c>
    </row>
    <row r="272" spans="1:8" hidden="1" x14ac:dyDescent="0.25">
      <c r="A272" t="s">
        <v>24</v>
      </c>
      <c r="B272">
        <v>202110</v>
      </c>
      <c r="C272" t="s">
        <v>11</v>
      </c>
      <c r="D272" t="s">
        <v>60</v>
      </c>
      <c r="E272">
        <v>54</v>
      </c>
      <c r="F272">
        <v>126790.31</v>
      </c>
    </row>
    <row r="273" spans="1:8" hidden="1" x14ac:dyDescent="0.25">
      <c r="A273" t="s">
        <v>24</v>
      </c>
      <c r="B273">
        <v>202120</v>
      </c>
      <c r="C273" t="s">
        <v>11</v>
      </c>
      <c r="D273" t="s">
        <v>60</v>
      </c>
      <c r="E273">
        <v>34</v>
      </c>
      <c r="F273">
        <v>79827.539999999994</v>
      </c>
    </row>
    <row r="274" spans="1:8" hidden="1" x14ac:dyDescent="0.25">
      <c r="A274" t="s">
        <v>24</v>
      </c>
      <c r="B274">
        <v>202210</v>
      </c>
      <c r="C274" t="s">
        <v>11</v>
      </c>
      <c r="D274" t="s">
        <v>60</v>
      </c>
      <c r="E274">
        <v>95</v>
      </c>
      <c r="F274">
        <v>231868.32</v>
      </c>
      <c r="G274" s="5">
        <f t="shared" ref="G274:H280" si="30">(E274-E272)/E272</f>
        <v>0.7592592592592593</v>
      </c>
      <c r="H274" s="5">
        <f t="shared" si="30"/>
        <v>0.82875426363418481</v>
      </c>
    </row>
    <row r="275" spans="1:8" hidden="1" x14ac:dyDescent="0.25">
      <c r="A275" t="s">
        <v>24</v>
      </c>
      <c r="B275">
        <v>202220</v>
      </c>
      <c r="C275" t="s">
        <v>11</v>
      </c>
      <c r="D275" t="s">
        <v>60</v>
      </c>
      <c r="E275">
        <v>71</v>
      </c>
      <c r="F275">
        <v>166085.31</v>
      </c>
      <c r="G275" s="5">
        <f t="shared" si="30"/>
        <v>1.088235294117647</v>
      </c>
      <c r="H275" s="5">
        <f t="shared" si="30"/>
        <v>1.0805515239477506</v>
      </c>
    </row>
    <row r="276" spans="1:8" hidden="1" x14ac:dyDescent="0.25">
      <c r="A276" t="s">
        <v>24</v>
      </c>
      <c r="B276">
        <v>202310</v>
      </c>
      <c r="C276" t="s">
        <v>11</v>
      </c>
      <c r="D276" t="s">
        <v>60</v>
      </c>
      <c r="E276">
        <v>122</v>
      </c>
      <c r="F276">
        <v>292810.19</v>
      </c>
      <c r="G276" s="5">
        <f t="shared" si="30"/>
        <v>0.28421052631578947</v>
      </c>
      <c r="H276" s="5">
        <f t="shared" si="30"/>
        <v>0.26282965262352354</v>
      </c>
    </row>
    <row r="277" spans="1:8" hidden="1" x14ac:dyDescent="0.25">
      <c r="A277" t="s">
        <v>24</v>
      </c>
      <c r="B277">
        <v>202320</v>
      </c>
      <c r="C277" t="s">
        <v>11</v>
      </c>
      <c r="D277" t="s">
        <v>60</v>
      </c>
      <c r="E277">
        <v>84</v>
      </c>
      <c r="F277">
        <v>208561.14</v>
      </c>
      <c r="G277" s="5">
        <f t="shared" si="30"/>
        <v>0.18309859154929578</v>
      </c>
      <c r="H277" s="5">
        <f t="shared" si="30"/>
        <v>0.25574706155529359</v>
      </c>
    </row>
    <row r="278" spans="1:8" hidden="1" x14ac:dyDescent="0.25">
      <c r="A278" t="s">
        <v>24</v>
      </c>
      <c r="B278">
        <v>202410</v>
      </c>
      <c r="C278" t="s">
        <v>11</v>
      </c>
      <c r="D278" t="s">
        <v>60</v>
      </c>
      <c r="E278">
        <v>135</v>
      </c>
      <c r="F278">
        <v>322827.65999999997</v>
      </c>
      <c r="G278" s="5">
        <f t="shared" si="30"/>
        <v>0.10655737704918032</v>
      </c>
      <c r="H278" s="5">
        <f t="shared" si="30"/>
        <v>0.10251511397195559</v>
      </c>
    </row>
    <row r="279" spans="1:8" hidden="1" x14ac:dyDescent="0.25">
      <c r="A279" t="s">
        <v>24</v>
      </c>
      <c r="B279">
        <v>202420</v>
      </c>
      <c r="C279" t="s">
        <v>11</v>
      </c>
      <c r="D279" t="s">
        <v>60</v>
      </c>
      <c r="E279">
        <v>67</v>
      </c>
      <c r="F279">
        <v>157268.49</v>
      </c>
      <c r="G279" s="5">
        <f t="shared" si="30"/>
        <v>-0.20238095238095238</v>
      </c>
      <c r="H279" s="5">
        <f t="shared" si="30"/>
        <v>-0.24593579609317451</v>
      </c>
    </row>
    <row r="280" spans="1:8" hidden="1" x14ac:dyDescent="0.25">
      <c r="A280" t="s">
        <v>24</v>
      </c>
      <c r="B280" s="2">
        <v>202510</v>
      </c>
      <c r="C280" s="2" t="s">
        <v>11</v>
      </c>
      <c r="D280" s="2" t="s">
        <v>60</v>
      </c>
      <c r="E280" s="2">
        <v>156</v>
      </c>
      <c r="F280" s="2">
        <v>360159.69</v>
      </c>
      <c r="G280" s="6">
        <f t="shared" si="30"/>
        <v>0.15555555555555556</v>
      </c>
      <c r="H280" s="6">
        <f t="shared" si="30"/>
        <v>0.11564074156470988</v>
      </c>
    </row>
    <row r="281" spans="1:8" hidden="1" x14ac:dyDescent="0.25">
      <c r="A281" t="s">
        <v>24</v>
      </c>
      <c r="B281">
        <v>202110</v>
      </c>
      <c r="C281" t="s">
        <v>11</v>
      </c>
      <c r="D281" t="s">
        <v>61</v>
      </c>
      <c r="E281">
        <v>14</v>
      </c>
      <c r="F281">
        <v>38435.64</v>
      </c>
    </row>
    <row r="282" spans="1:8" hidden="1" x14ac:dyDescent="0.25">
      <c r="A282" t="s">
        <v>24</v>
      </c>
      <c r="B282">
        <v>202120</v>
      </c>
      <c r="C282" t="s">
        <v>11</v>
      </c>
      <c r="D282" t="s">
        <v>61</v>
      </c>
      <c r="E282">
        <v>5</v>
      </c>
      <c r="F282">
        <v>14266.11</v>
      </c>
    </row>
    <row r="283" spans="1:8" hidden="1" x14ac:dyDescent="0.25">
      <c r="A283" t="s">
        <v>24</v>
      </c>
      <c r="B283">
        <v>202210</v>
      </c>
      <c r="C283" t="s">
        <v>11</v>
      </c>
      <c r="D283" t="s">
        <v>61</v>
      </c>
      <c r="E283">
        <v>18</v>
      </c>
      <c r="F283">
        <v>44135.47</v>
      </c>
      <c r="G283" s="5">
        <f t="shared" ref="G283:H289" si="31">(E283-E281)/E281</f>
        <v>0.2857142857142857</v>
      </c>
      <c r="H283" s="5">
        <f t="shared" si="31"/>
        <v>0.14829543621492974</v>
      </c>
    </row>
    <row r="284" spans="1:8" hidden="1" x14ac:dyDescent="0.25">
      <c r="A284" t="s">
        <v>24</v>
      </c>
      <c r="B284">
        <v>202220</v>
      </c>
      <c r="C284" t="s">
        <v>11</v>
      </c>
      <c r="D284" t="s">
        <v>61</v>
      </c>
      <c r="E284">
        <v>7</v>
      </c>
      <c r="F284">
        <v>17302.09</v>
      </c>
      <c r="G284" s="5">
        <f t="shared" si="31"/>
        <v>0.4</v>
      </c>
      <c r="H284" s="5">
        <f t="shared" si="31"/>
        <v>0.21281064004132869</v>
      </c>
    </row>
    <row r="285" spans="1:8" hidden="1" x14ac:dyDescent="0.25">
      <c r="A285" t="s">
        <v>24</v>
      </c>
      <c r="B285">
        <v>202310</v>
      </c>
      <c r="C285" t="s">
        <v>11</v>
      </c>
      <c r="D285" t="s">
        <v>61</v>
      </c>
      <c r="E285">
        <v>11</v>
      </c>
      <c r="F285">
        <v>29236.7</v>
      </c>
      <c r="G285" s="5">
        <f t="shared" si="31"/>
        <v>-0.3888888888888889</v>
      </c>
      <c r="H285" s="5">
        <f t="shared" si="31"/>
        <v>-0.3375690799259643</v>
      </c>
    </row>
    <row r="286" spans="1:8" hidden="1" x14ac:dyDescent="0.25">
      <c r="A286" t="s">
        <v>24</v>
      </c>
      <c r="B286">
        <v>202320</v>
      </c>
      <c r="C286" t="s">
        <v>11</v>
      </c>
      <c r="D286" t="s">
        <v>61</v>
      </c>
      <c r="E286">
        <v>7</v>
      </c>
      <c r="F286">
        <v>18722.23</v>
      </c>
      <c r="G286" s="5">
        <f t="shared" si="31"/>
        <v>0</v>
      </c>
      <c r="H286" s="5">
        <f t="shared" si="31"/>
        <v>8.2079101426475037E-2</v>
      </c>
    </row>
    <row r="287" spans="1:8" hidden="1" x14ac:dyDescent="0.25">
      <c r="A287" t="s">
        <v>24</v>
      </c>
      <c r="B287">
        <v>202410</v>
      </c>
      <c r="C287" t="s">
        <v>11</v>
      </c>
      <c r="D287" t="s">
        <v>61</v>
      </c>
      <c r="E287">
        <v>12</v>
      </c>
      <c r="F287">
        <v>29208.07</v>
      </c>
      <c r="G287" s="5">
        <f t="shared" si="31"/>
        <v>9.0909090909090912E-2</v>
      </c>
      <c r="H287" s="5">
        <f t="shared" si="31"/>
        <v>-9.7924868401704076E-4</v>
      </c>
    </row>
    <row r="288" spans="1:8" hidden="1" x14ac:dyDescent="0.25">
      <c r="A288" t="s">
        <v>24</v>
      </c>
      <c r="B288">
        <v>202420</v>
      </c>
      <c r="C288" t="s">
        <v>11</v>
      </c>
      <c r="D288" t="s">
        <v>61</v>
      </c>
      <c r="E288">
        <v>5</v>
      </c>
      <c r="F288">
        <v>11516.71</v>
      </c>
      <c r="G288" s="5">
        <f t="shared" si="31"/>
        <v>-0.2857142857142857</v>
      </c>
      <c r="H288" s="5">
        <f t="shared" si="31"/>
        <v>-0.38486440984861314</v>
      </c>
    </row>
    <row r="289" spans="1:8" hidden="1" x14ac:dyDescent="0.25">
      <c r="A289" t="s">
        <v>24</v>
      </c>
      <c r="B289" s="2">
        <v>202510</v>
      </c>
      <c r="C289" s="2" t="s">
        <v>11</v>
      </c>
      <c r="D289" s="2" t="s">
        <v>62</v>
      </c>
      <c r="E289" s="2">
        <v>10</v>
      </c>
      <c r="F289" s="2">
        <v>26316.58</v>
      </c>
      <c r="G289" s="6">
        <f t="shared" si="31"/>
        <v>-0.16666666666666666</v>
      </c>
      <c r="H289" s="6">
        <f t="shared" si="31"/>
        <v>-9.8996270551255108E-2</v>
      </c>
    </row>
    <row r="290" spans="1:8" hidden="1" x14ac:dyDescent="0.25">
      <c r="A290" t="s">
        <v>24</v>
      </c>
      <c r="B290">
        <v>202110</v>
      </c>
      <c r="C290" t="s">
        <v>12</v>
      </c>
      <c r="D290" t="s">
        <v>63</v>
      </c>
      <c r="E290">
        <v>367</v>
      </c>
      <c r="F290">
        <v>1603365.41</v>
      </c>
    </row>
    <row r="291" spans="1:8" hidden="1" x14ac:dyDescent="0.25">
      <c r="A291" t="s">
        <v>24</v>
      </c>
      <c r="B291">
        <v>202120</v>
      </c>
      <c r="C291" t="s">
        <v>12</v>
      </c>
      <c r="D291" t="s">
        <v>63</v>
      </c>
      <c r="E291">
        <v>238</v>
      </c>
      <c r="F291">
        <v>1051874.51</v>
      </c>
    </row>
    <row r="292" spans="1:8" hidden="1" x14ac:dyDescent="0.25">
      <c r="A292" t="s">
        <v>24</v>
      </c>
      <c r="B292">
        <v>202210</v>
      </c>
      <c r="C292" t="s">
        <v>12</v>
      </c>
      <c r="D292" t="s">
        <v>63</v>
      </c>
      <c r="E292">
        <v>330</v>
      </c>
      <c r="F292">
        <v>1452222.27</v>
      </c>
      <c r="G292" s="5">
        <f t="shared" ref="G292:H298" si="32">(E292-E290)/E290</f>
        <v>-0.1008174386920981</v>
      </c>
      <c r="H292" s="5">
        <f t="shared" si="32"/>
        <v>-9.4266184774436351E-2</v>
      </c>
    </row>
    <row r="293" spans="1:8" hidden="1" x14ac:dyDescent="0.25">
      <c r="A293" t="s">
        <v>24</v>
      </c>
      <c r="B293">
        <v>202220</v>
      </c>
      <c r="C293" t="s">
        <v>12</v>
      </c>
      <c r="D293" t="s">
        <v>63</v>
      </c>
      <c r="E293">
        <v>236</v>
      </c>
      <c r="F293">
        <v>1049869.55</v>
      </c>
      <c r="G293" s="5">
        <f t="shared" si="32"/>
        <v>-8.4033613445378148E-3</v>
      </c>
      <c r="H293" s="5">
        <f t="shared" si="32"/>
        <v>-1.9060828843546771E-3</v>
      </c>
    </row>
    <row r="294" spans="1:8" hidden="1" x14ac:dyDescent="0.25">
      <c r="A294" t="s">
        <v>24</v>
      </c>
      <c r="B294">
        <v>202310</v>
      </c>
      <c r="C294" t="s">
        <v>12</v>
      </c>
      <c r="D294" t="s">
        <v>63</v>
      </c>
      <c r="E294">
        <v>419</v>
      </c>
      <c r="F294">
        <v>1846866.41</v>
      </c>
      <c r="G294" s="5">
        <f t="shared" si="32"/>
        <v>0.26969696969696971</v>
      </c>
      <c r="H294" s="5">
        <f t="shared" si="32"/>
        <v>0.27175188547411538</v>
      </c>
    </row>
    <row r="295" spans="1:8" hidden="1" x14ac:dyDescent="0.25">
      <c r="A295" t="s">
        <v>24</v>
      </c>
      <c r="B295">
        <v>202320</v>
      </c>
      <c r="C295" t="s">
        <v>12</v>
      </c>
      <c r="D295" t="s">
        <v>63</v>
      </c>
      <c r="E295">
        <v>181</v>
      </c>
      <c r="F295">
        <v>791034.9</v>
      </c>
      <c r="G295" s="5">
        <f t="shared" si="32"/>
        <v>-0.23305084745762711</v>
      </c>
      <c r="H295" s="5">
        <f t="shared" si="32"/>
        <v>-0.24653982011384176</v>
      </c>
    </row>
    <row r="296" spans="1:8" hidden="1" x14ac:dyDescent="0.25">
      <c r="A296" t="s">
        <v>24</v>
      </c>
      <c r="B296">
        <v>202410</v>
      </c>
      <c r="C296" t="s">
        <v>12</v>
      </c>
      <c r="D296" t="s">
        <v>63</v>
      </c>
      <c r="E296">
        <v>352</v>
      </c>
      <c r="F296">
        <v>1548502.34</v>
      </c>
      <c r="G296" s="5">
        <f t="shared" si="32"/>
        <v>-0.15990453460620524</v>
      </c>
      <c r="H296" s="5">
        <f t="shared" si="32"/>
        <v>-0.16155151687446623</v>
      </c>
    </row>
    <row r="297" spans="1:8" hidden="1" x14ac:dyDescent="0.25">
      <c r="A297" t="s">
        <v>24</v>
      </c>
      <c r="B297">
        <v>202420</v>
      </c>
      <c r="C297" t="s">
        <v>12</v>
      </c>
      <c r="D297" t="s">
        <v>63</v>
      </c>
      <c r="E297">
        <v>168</v>
      </c>
      <c r="F297">
        <v>726213.13</v>
      </c>
      <c r="G297" s="5">
        <f t="shared" si="32"/>
        <v>-7.18232044198895E-2</v>
      </c>
      <c r="H297" s="5">
        <f t="shared" si="32"/>
        <v>-8.1945524780259404E-2</v>
      </c>
    </row>
    <row r="298" spans="1:8" hidden="1" x14ac:dyDescent="0.25">
      <c r="A298" t="s">
        <v>24</v>
      </c>
      <c r="B298" s="2">
        <v>202510</v>
      </c>
      <c r="C298" s="2" t="s">
        <v>12</v>
      </c>
      <c r="D298" s="2" t="s">
        <v>63</v>
      </c>
      <c r="E298" s="2">
        <v>363</v>
      </c>
      <c r="F298" s="2">
        <v>1552438.69</v>
      </c>
      <c r="G298" s="6">
        <f t="shared" si="32"/>
        <v>3.125E-2</v>
      </c>
      <c r="H298" s="6">
        <f t="shared" si="32"/>
        <v>2.5420368431602501E-3</v>
      </c>
    </row>
    <row r="299" spans="1:8" hidden="1" x14ac:dyDescent="0.25">
      <c r="A299" t="s">
        <v>24</v>
      </c>
      <c r="B299">
        <v>202110</v>
      </c>
      <c r="C299" t="s">
        <v>13</v>
      </c>
      <c r="D299" t="s">
        <v>64</v>
      </c>
      <c r="E299">
        <v>113</v>
      </c>
      <c r="F299">
        <v>426584.03</v>
      </c>
    </row>
    <row r="300" spans="1:8" hidden="1" x14ac:dyDescent="0.25">
      <c r="A300" t="s">
        <v>24</v>
      </c>
      <c r="B300">
        <v>202120</v>
      </c>
      <c r="C300" t="s">
        <v>13</v>
      </c>
      <c r="D300" t="s">
        <v>64</v>
      </c>
      <c r="E300">
        <v>75</v>
      </c>
      <c r="F300">
        <v>294051.38</v>
      </c>
    </row>
    <row r="301" spans="1:8" hidden="1" x14ac:dyDescent="0.25">
      <c r="A301" t="s">
        <v>24</v>
      </c>
      <c r="B301">
        <v>202210</v>
      </c>
      <c r="C301" t="s">
        <v>13</v>
      </c>
      <c r="D301" t="s">
        <v>64</v>
      </c>
      <c r="E301">
        <v>120</v>
      </c>
      <c r="F301">
        <v>466414.23</v>
      </c>
      <c r="G301" s="5">
        <f t="shared" ref="G301:H307" si="33">(E301-E299)/E299</f>
        <v>6.1946902654867256E-2</v>
      </c>
      <c r="H301" s="5">
        <f t="shared" si="33"/>
        <v>9.3370115144722959E-2</v>
      </c>
    </row>
    <row r="302" spans="1:8" hidden="1" x14ac:dyDescent="0.25">
      <c r="A302" t="s">
        <v>24</v>
      </c>
      <c r="B302">
        <v>202220</v>
      </c>
      <c r="C302" t="s">
        <v>13</v>
      </c>
      <c r="D302" t="s">
        <v>64</v>
      </c>
      <c r="E302">
        <v>76</v>
      </c>
      <c r="F302">
        <v>298493.34000000003</v>
      </c>
      <c r="G302" s="5">
        <f t="shared" si="33"/>
        <v>1.3333333333333334E-2</v>
      </c>
      <c r="H302" s="5">
        <f t="shared" si="33"/>
        <v>1.5106067517860386E-2</v>
      </c>
    </row>
    <row r="303" spans="1:8" hidden="1" x14ac:dyDescent="0.25">
      <c r="A303" t="s">
        <v>24</v>
      </c>
      <c r="B303">
        <v>202310</v>
      </c>
      <c r="C303" t="s">
        <v>13</v>
      </c>
      <c r="D303" t="s">
        <v>64</v>
      </c>
      <c r="E303">
        <v>113</v>
      </c>
      <c r="F303">
        <v>422703.08</v>
      </c>
      <c r="G303" s="5">
        <f t="shared" si="33"/>
        <v>-5.8333333333333334E-2</v>
      </c>
      <c r="H303" s="5">
        <f t="shared" si="33"/>
        <v>-9.3717445113113224E-2</v>
      </c>
    </row>
    <row r="304" spans="1:8" hidden="1" x14ac:dyDescent="0.25">
      <c r="A304" t="s">
        <v>24</v>
      </c>
      <c r="B304">
        <v>202320</v>
      </c>
      <c r="C304" t="s">
        <v>13</v>
      </c>
      <c r="D304" t="s">
        <v>64</v>
      </c>
      <c r="E304">
        <v>64</v>
      </c>
      <c r="F304">
        <v>251244.3</v>
      </c>
      <c r="G304" s="5">
        <f t="shared" si="33"/>
        <v>-0.15789473684210525</v>
      </c>
      <c r="H304" s="5">
        <f t="shared" si="33"/>
        <v>-0.15829177294206978</v>
      </c>
    </row>
    <row r="305" spans="1:8" hidden="1" x14ac:dyDescent="0.25">
      <c r="A305" t="s">
        <v>24</v>
      </c>
      <c r="B305">
        <v>202410</v>
      </c>
      <c r="C305" t="s">
        <v>13</v>
      </c>
      <c r="D305" t="s">
        <v>64</v>
      </c>
      <c r="E305">
        <v>93</v>
      </c>
      <c r="F305">
        <v>357573.24</v>
      </c>
      <c r="G305" s="5">
        <f t="shared" si="33"/>
        <v>-0.17699115044247787</v>
      </c>
      <c r="H305" s="5">
        <f t="shared" si="33"/>
        <v>-0.15407940722835525</v>
      </c>
    </row>
    <row r="306" spans="1:8" hidden="1" x14ac:dyDescent="0.25">
      <c r="A306" t="s">
        <v>24</v>
      </c>
      <c r="B306">
        <v>202420</v>
      </c>
      <c r="C306" t="s">
        <v>13</v>
      </c>
      <c r="D306" t="s">
        <v>64</v>
      </c>
      <c r="E306">
        <v>54</v>
      </c>
      <c r="F306">
        <v>206771.68</v>
      </c>
      <c r="G306" s="5">
        <f t="shared" si="33"/>
        <v>-0.15625</v>
      </c>
      <c r="H306" s="5">
        <f t="shared" si="33"/>
        <v>-0.17700946847351362</v>
      </c>
    </row>
    <row r="307" spans="1:8" hidden="1" x14ac:dyDescent="0.25">
      <c r="A307" t="s">
        <v>24</v>
      </c>
      <c r="B307" s="2">
        <v>202510</v>
      </c>
      <c r="C307" s="2" t="s">
        <v>13</v>
      </c>
      <c r="D307" s="2" t="s">
        <v>64</v>
      </c>
      <c r="E307" s="2">
        <v>108</v>
      </c>
      <c r="F307" s="2">
        <v>391655.75</v>
      </c>
      <c r="G307" s="6">
        <f t="shared" si="33"/>
        <v>0.16129032258064516</v>
      </c>
      <c r="H307" s="6">
        <f t="shared" si="33"/>
        <v>9.5316165158220487E-2</v>
      </c>
    </row>
    <row r="308" spans="1:8" hidden="1" x14ac:dyDescent="0.25">
      <c r="A308" t="s">
        <v>24</v>
      </c>
      <c r="B308">
        <v>202110</v>
      </c>
      <c r="C308" t="s">
        <v>14</v>
      </c>
      <c r="D308" t="s">
        <v>65</v>
      </c>
      <c r="E308">
        <v>80</v>
      </c>
      <c r="F308">
        <v>158803.97</v>
      </c>
    </row>
    <row r="309" spans="1:8" hidden="1" x14ac:dyDescent="0.25">
      <c r="A309" t="s">
        <v>24</v>
      </c>
      <c r="B309">
        <v>202120</v>
      </c>
      <c r="C309" t="s">
        <v>14</v>
      </c>
      <c r="D309" t="s">
        <v>65</v>
      </c>
      <c r="E309">
        <v>135</v>
      </c>
      <c r="F309">
        <v>260046.96</v>
      </c>
    </row>
    <row r="310" spans="1:8" hidden="1" x14ac:dyDescent="0.25">
      <c r="A310" t="s">
        <v>24</v>
      </c>
      <c r="B310">
        <v>202210</v>
      </c>
      <c r="C310" t="s">
        <v>14</v>
      </c>
      <c r="D310" t="s">
        <v>65</v>
      </c>
      <c r="E310">
        <v>172</v>
      </c>
      <c r="F310">
        <v>311217.76</v>
      </c>
      <c r="G310" s="5">
        <f t="shared" ref="G310:H316" si="34">(E310-E308)/E308</f>
        <v>1.1499999999999999</v>
      </c>
      <c r="H310" s="5">
        <f t="shared" si="34"/>
        <v>0.95976057777396884</v>
      </c>
    </row>
    <row r="311" spans="1:8" hidden="1" x14ac:dyDescent="0.25">
      <c r="A311" t="s">
        <v>24</v>
      </c>
      <c r="B311">
        <v>202220</v>
      </c>
      <c r="C311" t="s">
        <v>14</v>
      </c>
      <c r="D311" t="s">
        <v>65</v>
      </c>
      <c r="E311">
        <v>181</v>
      </c>
      <c r="F311">
        <v>319671.26</v>
      </c>
      <c r="G311" s="5">
        <f t="shared" si="34"/>
        <v>0.34074074074074073</v>
      </c>
      <c r="H311" s="5">
        <f t="shared" si="34"/>
        <v>0.22928281876473394</v>
      </c>
    </row>
    <row r="312" spans="1:8" hidden="1" x14ac:dyDescent="0.25">
      <c r="A312" t="s">
        <v>24</v>
      </c>
      <c r="B312">
        <v>202310</v>
      </c>
      <c r="C312" t="s">
        <v>14</v>
      </c>
      <c r="D312" t="s">
        <v>65</v>
      </c>
      <c r="E312">
        <v>170</v>
      </c>
      <c r="F312">
        <v>323321.77</v>
      </c>
      <c r="G312" s="5">
        <f t="shared" si="34"/>
        <v>-1.1627906976744186E-2</v>
      </c>
      <c r="H312" s="5">
        <f t="shared" si="34"/>
        <v>3.8892414109014888E-2</v>
      </c>
    </row>
    <row r="313" spans="1:8" hidden="1" x14ac:dyDescent="0.25">
      <c r="A313" t="s">
        <v>24</v>
      </c>
      <c r="B313">
        <v>202320</v>
      </c>
      <c r="C313" t="s">
        <v>14</v>
      </c>
      <c r="D313" t="s">
        <v>65</v>
      </c>
      <c r="E313">
        <v>132</v>
      </c>
      <c r="F313">
        <v>250237.7</v>
      </c>
      <c r="G313" s="5">
        <f t="shared" si="34"/>
        <v>-0.27071823204419887</v>
      </c>
      <c r="H313" s="5">
        <f t="shared" si="34"/>
        <v>-0.21720301036758824</v>
      </c>
    </row>
    <row r="314" spans="1:8" hidden="1" x14ac:dyDescent="0.25">
      <c r="A314" t="s">
        <v>24</v>
      </c>
      <c r="B314">
        <v>202410</v>
      </c>
      <c r="C314" t="s">
        <v>14</v>
      </c>
      <c r="D314" t="s">
        <v>65</v>
      </c>
      <c r="E314">
        <v>129</v>
      </c>
      <c r="F314">
        <v>233891.46</v>
      </c>
      <c r="G314" s="5">
        <f t="shared" si="34"/>
        <v>-0.2411764705882353</v>
      </c>
      <c r="H314" s="5">
        <f t="shared" si="34"/>
        <v>-0.27659847958892475</v>
      </c>
    </row>
    <row r="315" spans="1:8" hidden="1" x14ac:dyDescent="0.25">
      <c r="A315" t="s">
        <v>24</v>
      </c>
      <c r="B315">
        <v>202420</v>
      </c>
      <c r="C315" t="s">
        <v>14</v>
      </c>
      <c r="D315" t="s">
        <v>65</v>
      </c>
      <c r="E315">
        <v>107</v>
      </c>
      <c r="F315">
        <v>187563</v>
      </c>
      <c r="G315" s="5">
        <f t="shared" si="34"/>
        <v>-0.18939393939393939</v>
      </c>
      <c r="H315" s="5">
        <f t="shared" si="34"/>
        <v>-0.250460662002568</v>
      </c>
    </row>
    <row r="316" spans="1:8" hidden="1" x14ac:dyDescent="0.25">
      <c r="A316" t="s">
        <v>24</v>
      </c>
      <c r="B316" s="2">
        <v>202510</v>
      </c>
      <c r="C316" s="2" t="s">
        <v>14</v>
      </c>
      <c r="D316" s="2" t="s">
        <v>65</v>
      </c>
      <c r="E316" s="2">
        <v>128</v>
      </c>
      <c r="F316" s="2">
        <v>230539.64</v>
      </c>
      <c r="G316" s="6">
        <f t="shared" si="34"/>
        <v>-7.7519379844961239E-3</v>
      </c>
      <c r="H316" s="6">
        <f t="shared" si="34"/>
        <v>-1.4330664317542752E-2</v>
      </c>
    </row>
    <row r="317" spans="1:8" hidden="1" x14ac:dyDescent="0.25">
      <c r="A317" t="s">
        <v>24</v>
      </c>
      <c r="B317">
        <v>202110</v>
      </c>
      <c r="C317" t="s">
        <v>14</v>
      </c>
      <c r="D317" t="s">
        <v>66</v>
      </c>
      <c r="E317">
        <v>45</v>
      </c>
      <c r="F317">
        <v>120146.11</v>
      </c>
    </row>
    <row r="318" spans="1:8" hidden="1" x14ac:dyDescent="0.25">
      <c r="A318" t="s">
        <v>24</v>
      </c>
      <c r="B318">
        <v>202120</v>
      </c>
      <c r="C318" t="s">
        <v>14</v>
      </c>
      <c r="D318" t="s">
        <v>66</v>
      </c>
      <c r="E318">
        <v>53</v>
      </c>
      <c r="F318">
        <v>129348.42</v>
      </c>
    </row>
    <row r="319" spans="1:8" hidden="1" x14ac:dyDescent="0.25">
      <c r="A319" t="s">
        <v>24</v>
      </c>
      <c r="B319">
        <v>202210</v>
      </c>
      <c r="C319" t="s">
        <v>14</v>
      </c>
      <c r="D319" t="s">
        <v>66</v>
      </c>
      <c r="E319">
        <v>51</v>
      </c>
      <c r="F319">
        <v>127140.56</v>
      </c>
      <c r="G319" s="5">
        <f t="shared" ref="G319:H325" si="35">(E319-E317)/E317</f>
        <v>0.13333333333333333</v>
      </c>
      <c r="H319" s="5">
        <f t="shared" si="35"/>
        <v>5.8216200258168968E-2</v>
      </c>
    </row>
    <row r="320" spans="1:8" hidden="1" x14ac:dyDescent="0.25">
      <c r="A320" t="s">
        <v>24</v>
      </c>
      <c r="B320">
        <v>202220</v>
      </c>
      <c r="C320" t="s">
        <v>14</v>
      </c>
      <c r="D320" t="s">
        <v>66</v>
      </c>
      <c r="E320">
        <v>66</v>
      </c>
      <c r="F320">
        <v>151035.01999999999</v>
      </c>
      <c r="G320" s="5">
        <f t="shared" si="35"/>
        <v>0.24528301886792453</v>
      </c>
      <c r="H320" s="5">
        <f t="shared" si="35"/>
        <v>0.16766033941504652</v>
      </c>
    </row>
    <row r="321" spans="1:8" hidden="1" x14ac:dyDescent="0.25">
      <c r="A321" t="s">
        <v>24</v>
      </c>
      <c r="B321">
        <v>202310</v>
      </c>
      <c r="C321" t="s">
        <v>14</v>
      </c>
      <c r="D321" t="s">
        <v>66</v>
      </c>
      <c r="E321">
        <v>86</v>
      </c>
      <c r="F321">
        <v>206231.72</v>
      </c>
      <c r="G321" s="5">
        <f t="shared" si="35"/>
        <v>0.68627450980392157</v>
      </c>
      <c r="H321" s="5">
        <f t="shared" si="35"/>
        <v>0.62207654268629931</v>
      </c>
    </row>
    <row r="322" spans="1:8" hidden="1" x14ac:dyDescent="0.25">
      <c r="A322" t="s">
        <v>24</v>
      </c>
      <c r="B322">
        <v>202320</v>
      </c>
      <c r="C322" t="s">
        <v>14</v>
      </c>
      <c r="D322" t="s">
        <v>66</v>
      </c>
      <c r="E322">
        <v>53</v>
      </c>
      <c r="F322">
        <v>124386.09</v>
      </c>
      <c r="G322" s="5">
        <f t="shared" si="35"/>
        <v>-0.19696969696969696</v>
      </c>
      <c r="H322" s="5">
        <f t="shared" si="35"/>
        <v>-0.17644205959650944</v>
      </c>
    </row>
    <row r="323" spans="1:8" hidden="1" x14ac:dyDescent="0.25">
      <c r="A323" t="s">
        <v>24</v>
      </c>
      <c r="B323">
        <v>202410</v>
      </c>
      <c r="C323" t="s">
        <v>14</v>
      </c>
      <c r="D323" t="s">
        <v>66</v>
      </c>
      <c r="E323">
        <v>62</v>
      </c>
      <c r="F323">
        <v>143745.07</v>
      </c>
      <c r="G323" s="5">
        <f t="shared" si="35"/>
        <v>-0.27906976744186046</v>
      </c>
      <c r="H323" s="5">
        <f t="shared" si="35"/>
        <v>-0.3029924300684686</v>
      </c>
    </row>
    <row r="324" spans="1:8" hidden="1" x14ac:dyDescent="0.25">
      <c r="A324" t="s">
        <v>24</v>
      </c>
      <c r="B324">
        <v>202420</v>
      </c>
      <c r="C324" t="s">
        <v>14</v>
      </c>
      <c r="D324" t="s">
        <v>66</v>
      </c>
      <c r="E324">
        <v>69</v>
      </c>
      <c r="F324">
        <v>154986.22</v>
      </c>
      <c r="G324" s="5">
        <f t="shared" si="35"/>
        <v>0.30188679245283018</v>
      </c>
      <c r="H324" s="5">
        <f t="shared" si="35"/>
        <v>0.246009260360222</v>
      </c>
    </row>
    <row r="325" spans="1:8" hidden="1" x14ac:dyDescent="0.25">
      <c r="A325" t="s">
        <v>24</v>
      </c>
      <c r="B325" s="2">
        <v>202510</v>
      </c>
      <c r="C325" s="2" t="s">
        <v>14</v>
      </c>
      <c r="D325" s="2" t="s">
        <v>66</v>
      </c>
      <c r="E325" s="2">
        <v>96</v>
      </c>
      <c r="F325" s="2">
        <v>214591.53</v>
      </c>
      <c r="G325" s="6">
        <f t="shared" si="35"/>
        <v>0.54838709677419351</v>
      </c>
      <c r="H325" s="6">
        <f t="shared" si="35"/>
        <v>0.49286184214874285</v>
      </c>
    </row>
    <row r="326" spans="1:8" hidden="1" x14ac:dyDescent="0.25">
      <c r="A326" t="s">
        <v>24</v>
      </c>
      <c r="B326">
        <v>202110</v>
      </c>
      <c r="C326" t="s">
        <v>14</v>
      </c>
      <c r="D326" t="s">
        <v>67</v>
      </c>
      <c r="E326">
        <v>87</v>
      </c>
      <c r="F326">
        <v>269598.07</v>
      </c>
    </row>
    <row r="327" spans="1:8" hidden="1" x14ac:dyDescent="0.25">
      <c r="A327" t="s">
        <v>24</v>
      </c>
      <c r="B327">
        <v>202120</v>
      </c>
      <c r="C327" t="s">
        <v>14</v>
      </c>
      <c r="D327" t="s">
        <v>67</v>
      </c>
      <c r="E327">
        <v>46</v>
      </c>
      <c r="F327">
        <v>138857.06</v>
      </c>
    </row>
    <row r="328" spans="1:8" hidden="1" x14ac:dyDescent="0.25">
      <c r="A328" t="s">
        <v>24</v>
      </c>
      <c r="B328">
        <v>202210</v>
      </c>
      <c r="C328" t="s">
        <v>14</v>
      </c>
      <c r="D328" t="s">
        <v>67</v>
      </c>
      <c r="E328">
        <v>98</v>
      </c>
      <c r="F328">
        <v>287732.3</v>
      </c>
      <c r="G328" s="5">
        <f t="shared" ref="G328:H334" si="36">(E328-E326)/E326</f>
        <v>0.12643678160919541</v>
      </c>
      <c r="H328" s="5">
        <f t="shared" si="36"/>
        <v>6.7263945917713661E-2</v>
      </c>
    </row>
    <row r="329" spans="1:8" hidden="1" x14ac:dyDescent="0.25">
      <c r="A329" t="s">
        <v>24</v>
      </c>
      <c r="B329">
        <v>202220</v>
      </c>
      <c r="C329" t="s">
        <v>14</v>
      </c>
      <c r="D329" t="s">
        <v>67</v>
      </c>
      <c r="E329">
        <v>60</v>
      </c>
      <c r="F329">
        <v>170487.11</v>
      </c>
      <c r="G329" s="5">
        <f t="shared" si="36"/>
        <v>0.30434782608695654</v>
      </c>
      <c r="H329" s="5">
        <f t="shared" si="36"/>
        <v>0.22778856184914176</v>
      </c>
    </row>
    <row r="330" spans="1:8" hidden="1" x14ac:dyDescent="0.25">
      <c r="A330" t="s">
        <v>24</v>
      </c>
      <c r="B330">
        <v>202310</v>
      </c>
      <c r="C330" t="s">
        <v>14</v>
      </c>
      <c r="D330" t="s">
        <v>67</v>
      </c>
      <c r="E330">
        <v>98</v>
      </c>
      <c r="F330">
        <v>281936.95</v>
      </c>
      <c r="G330" s="5">
        <f t="shared" si="36"/>
        <v>0</v>
      </c>
      <c r="H330" s="5">
        <f t="shared" si="36"/>
        <v>-2.0141464826854603E-2</v>
      </c>
    </row>
    <row r="331" spans="1:8" hidden="1" x14ac:dyDescent="0.25">
      <c r="A331" t="s">
        <v>24</v>
      </c>
      <c r="B331">
        <v>202320</v>
      </c>
      <c r="C331" t="s">
        <v>14</v>
      </c>
      <c r="D331" t="s">
        <v>67</v>
      </c>
      <c r="E331">
        <v>54</v>
      </c>
      <c r="F331">
        <v>162343.10999999999</v>
      </c>
      <c r="G331" s="5">
        <f t="shared" si="36"/>
        <v>-0.1</v>
      </c>
      <c r="H331" s="5">
        <f t="shared" si="36"/>
        <v>-4.7769007287413109E-2</v>
      </c>
    </row>
    <row r="332" spans="1:8" hidden="1" x14ac:dyDescent="0.25">
      <c r="A332" t="s">
        <v>24</v>
      </c>
      <c r="B332">
        <v>202410</v>
      </c>
      <c r="C332" t="s">
        <v>14</v>
      </c>
      <c r="D332" t="s">
        <v>67</v>
      </c>
      <c r="E332">
        <v>74</v>
      </c>
      <c r="F332">
        <v>211949.61</v>
      </c>
      <c r="G332" s="5">
        <f t="shared" si="36"/>
        <v>-0.24489795918367346</v>
      </c>
      <c r="H332" s="5">
        <f t="shared" si="36"/>
        <v>-0.24823755807814485</v>
      </c>
    </row>
    <row r="333" spans="1:8" hidden="1" x14ac:dyDescent="0.25">
      <c r="A333" t="s">
        <v>24</v>
      </c>
      <c r="B333">
        <v>202420</v>
      </c>
      <c r="C333" t="s">
        <v>14</v>
      </c>
      <c r="D333" t="s">
        <v>67</v>
      </c>
      <c r="E333">
        <v>59</v>
      </c>
      <c r="F333">
        <v>165691.43</v>
      </c>
      <c r="G333" s="5">
        <f t="shared" si="36"/>
        <v>9.2592592592592587E-2</v>
      </c>
      <c r="H333" s="5">
        <f t="shared" si="36"/>
        <v>2.0624959075873361E-2</v>
      </c>
    </row>
    <row r="334" spans="1:8" hidden="1" x14ac:dyDescent="0.25">
      <c r="A334" t="s">
        <v>24</v>
      </c>
      <c r="B334" s="2">
        <v>202510</v>
      </c>
      <c r="C334" s="2" t="s">
        <v>14</v>
      </c>
      <c r="D334" s="2" t="s">
        <v>67</v>
      </c>
      <c r="E334" s="2">
        <v>108</v>
      </c>
      <c r="F334" s="2">
        <v>302560.96000000002</v>
      </c>
      <c r="G334" s="6">
        <f t="shared" si="36"/>
        <v>0.45945945945945948</v>
      </c>
      <c r="H334" s="6">
        <f t="shared" si="36"/>
        <v>0.42751364345515919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58554-E730-487C-9F3D-5D49475BE674}">
  <dimension ref="A1:W334"/>
  <sheetViews>
    <sheetView tabSelected="1" topLeftCell="H1" zoomScaleNormal="100" workbookViewId="0">
      <selection activeCell="K2" sqref="K2"/>
    </sheetView>
  </sheetViews>
  <sheetFormatPr baseColWidth="10" defaultColWidth="11.42578125" defaultRowHeight="15" x14ac:dyDescent="0.25"/>
  <cols>
    <col min="9" max="9" width="24.5703125" customWidth="1"/>
    <col min="10" max="10" width="35.140625" bestFit="1" customWidth="1"/>
    <col min="11" max="11" width="20.5703125" bestFit="1" customWidth="1"/>
    <col min="12" max="15" width="11.5703125" bestFit="1" customWidth="1"/>
    <col min="16" max="17" width="6.85546875" customWidth="1"/>
    <col min="18" max="18" width="27.28515625" customWidth="1"/>
    <col min="19" max="19" width="35.140625" bestFit="1" customWidth="1"/>
    <col min="20" max="20" width="20.5703125" style="19" bestFit="1" customWidth="1"/>
    <col min="21" max="23" width="11.5703125" bestFit="1" customWidth="1"/>
    <col min="24" max="25" width="6.85546875" bestFit="1" customWidth="1"/>
  </cols>
  <sheetData>
    <row r="1" spans="1:23" x14ac:dyDescent="0.2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4" t="s">
        <v>22</v>
      </c>
      <c r="G1" s="4" t="s">
        <v>23</v>
      </c>
      <c r="I1" s="11" t="s">
        <v>68</v>
      </c>
      <c r="J1" s="15" t="s">
        <v>69</v>
      </c>
      <c r="K1" s="15" t="s">
        <v>70</v>
      </c>
      <c r="L1" s="15" t="s">
        <v>185</v>
      </c>
      <c r="M1" s="15" t="s">
        <v>186</v>
      </c>
      <c r="N1" s="15" t="s">
        <v>187</v>
      </c>
      <c r="O1" s="15" t="s">
        <v>188</v>
      </c>
      <c r="P1" s="11"/>
      <c r="Q1" s="11"/>
      <c r="R1" s="11" t="s">
        <v>68</v>
      </c>
      <c r="S1" s="15" t="s">
        <v>69</v>
      </c>
      <c r="T1" s="15" t="s">
        <v>70</v>
      </c>
      <c r="U1" s="15" t="s">
        <v>189</v>
      </c>
      <c r="V1" s="15" t="s">
        <v>190</v>
      </c>
      <c r="W1" s="15" t="s">
        <v>191</v>
      </c>
    </row>
    <row r="2" spans="1:23" ht="15" customHeight="1" x14ac:dyDescent="0.25">
      <c r="A2">
        <v>202110</v>
      </c>
      <c r="B2" t="s">
        <v>3</v>
      </c>
      <c r="C2" t="s">
        <v>25</v>
      </c>
      <c r="D2">
        <v>37</v>
      </c>
      <c r="E2">
        <v>92233.24</v>
      </c>
      <c r="F2" s="5"/>
      <c r="G2" s="5"/>
      <c r="I2" s="20" t="s">
        <v>3</v>
      </c>
      <c r="J2" s="21" t="s">
        <v>71</v>
      </c>
      <c r="K2" s="10" t="s">
        <v>192</v>
      </c>
      <c r="L2" s="12">
        <v>0.81081081081081086</v>
      </c>
      <c r="M2" s="12">
        <v>0.31343283582089554</v>
      </c>
      <c r="N2" s="12">
        <v>-3.4090909090909088E-2</v>
      </c>
      <c r="O2" s="12">
        <v>0.41176470588235292</v>
      </c>
      <c r="P2" s="12"/>
      <c r="Q2" s="12"/>
      <c r="R2" s="20" t="s">
        <v>3</v>
      </c>
      <c r="S2" s="21" t="s">
        <v>71</v>
      </c>
      <c r="T2" s="10" t="s">
        <v>192</v>
      </c>
      <c r="U2" s="12">
        <v>0.21428571428571427</v>
      </c>
      <c r="V2" s="12">
        <v>0.67647058823529416</v>
      </c>
      <c r="W2" s="12">
        <v>-7.0175438596491224E-2</v>
      </c>
    </row>
    <row r="3" spans="1:23" ht="30" x14ac:dyDescent="0.25">
      <c r="A3">
        <v>202120</v>
      </c>
      <c r="B3" t="s">
        <v>3</v>
      </c>
      <c r="C3" t="s">
        <v>25</v>
      </c>
      <c r="D3">
        <v>28</v>
      </c>
      <c r="E3">
        <v>69231.850000000006</v>
      </c>
      <c r="F3" s="5"/>
      <c r="G3" s="5"/>
      <c r="I3" s="20" t="s">
        <v>3</v>
      </c>
      <c r="J3" s="21" t="s">
        <v>71</v>
      </c>
      <c r="K3" s="10" t="s">
        <v>72</v>
      </c>
      <c r="L3" s="12">
        <v>0.99032463784206204</v>
      </c>
      <c r="M3" s="12">
        <v>0.23349319067848839</v>
      </c>
      <c r="N3" s="12">
        <v>-9.9060539427697797E-2</v>
      </c>
      <c r="O3" s="12">
        <v>0.44706106740387236</v>
      </c>
      <c r="P3" s="12"/>
      <c r="Q3" s="12"/>
      <c r="R3" s="20" t="s">
        <v>3</v>
      </c>
      <c r="S3" s="21" t="s">
        <v>71</v>
      </c>
      <c r="T3" s="10" t="s">
        <v>72</v>
      </c>
      <c r="U3" s="12">
        <v>0.27716159542176039</v>
      </c>
      <c r="V3" s="12">
        <v>0.57120766213535201</v>
      </c>
      <c r="W3" s="12">
        <v>-0.21357473756463749</v>
      </c>
    </row>
    <row r="4" spans="1:23" ht="15" customHeight="1" x14ac:dyDescent="0.25">
      <c r="A4">
        <v>202210</v>
      </c>
      <c r="B4" t="s">
        <v>3</v>
      </c>
      <c r="C4" t="s">
        <v>25</v>
      </c>
      <c r="D4">
        <v>67</v>
      </c>
      <c r="E4">
        <v>183574.09</v>
      </c>
      <c r="F4" s="5">
        <v>0.81081081081081086</v>
      </c>
      <c r="G4" s="5">
        <v>0.99032463784206204</v>
      </c>
      <c r="I4" s="20" t="s">
        <v>4</v>
      </c>
      <c r="J4" s="20" t="s">
        <v>73</v>
      </c>
      <c r="K4" s="16" t="s">
        <v>192</v>
      </c>
      <c r="L4" s="17">
        <v>0.26923076923076922</v>
      </c>
      <c r="M4" s="17">
        <v>-3.0303030303030304E-2</v>
      </c>
      <c r="N4" s="17">
        <v>-0.1875</v>
      </c>
      <c r="O4" s="17">
        <v>-3.8461538461538464E-2</v>
      </c>
      <c r="P4" s="12"/>
      <c r="Q4" s="12"/>
      <c r="R4" s="20" t="s">
        <v>4</v>
      </c>
      <c r="S4" s="20" t="s">
        <v>73</v>
      </c>
      <c r="T4" s="16" t="s">
        <v>192</v>
      </c>
      <c r="U4" s="17">
        <v>-0.7142857142857143</v>
      </c>
      <c r="V4" s="17">
        <v>11.5</v>
      </c>
      <c r="W4" s="17">
        <v>-0.48</v>
      </c>
    </row>
    <row r="5" spans="1:23" ht="45" x14ac:dyDescent="0.25">
      <c r="A5">
        <v>202220</v>
      </c>
      <c r="B5" t="s">
        <v>3</v>
      </c>
      <c r="C5" t="s">
        <v>25</v>
      </c>
      <c r="D5">
        <v>34</v>
      </c>
      <c r="E5">
        <v>88420.260000000009</v>
      </c>
      <c r="F5" s="5">
        <v>0.21428571428571427</v>
      </c>
      <c r="G5" s="5">
        <v>0.27716159542176039</v>
      </c>
      <c r="I5" s="20" t="s">
        <v>4</v>
      </c>
      <c r="J5" s="20" t="s">
        <v>73</v>
      </c>
      <c r="K5" s="14" t="s">
        <v>72</v>
      </c>
      <c r="L5" s="13">
        <v>0.26780794832470745</v>
      </c>
      <c r="M5" s="13">
        <v>3.3910815414404091E-2</v>
      </c>
      <c r="N5" s="13">
        <v>-0.25347621669344383</v>
      </c>
      <c r="O5" s="13">
        <v>-6.2167499577964372E-2</v>
      </c>
      <c r="P5" s="12"/>
      <c r="Q5" s="12"/>
      <c r="R5" s="20" t="s">
        <v>4</v>
      </c>
      <c r="S5" s="20" t="s">
        <v>73</v>
      </c>
      <c r="T5" s="14" t="s">
        <v>72</v>
      </c>
      <c r="U5" s="13">
        <v>-0.76851841629485007</v>
      </c>
      <c r="V5" s="13">
        <v>12.036901106488127</v>
      </c>
      <c r="W5" s="13">
        <v>-0.4328810808626164</v>
      </c>
    </row>
    <row r="6" spans="1:23" ht="15" customHeight="1" x14ac:dyDescent="0.25">
      <c r="A6">
        <v>202310</v>
      </c>
      <c r="B6" t="s">
        <v>3</v>
      </c>
      <c r="C6" t="s">
        <v>25</v>
      </c>
      <c r="D6">
        <v>88</v>
      </c>
      <c r="E6">
        <v>226437.38999999998</v>
      </c>
      <c r="F6" s="5">
        <v>0.31343283582089554</v>
      </c>
      <c r="G6" s="5">
        <v>0.23349319067848839</v>
      </c>
      <c r="I6" s="20" t="s">
        <v>5</v>
      </c>
      <c r="J6" s="20" t="s">
        <v>74</v>
      </c>
      <c r="K6" s="16" t="s">
        <v>192</v>
      </c>
      <c r="L6" s="17">
        <v>-0.27272727272727271</v>
      </c>
      <c r="M6" s="17">
        <v>1.125</v>
      </c>
      <c r="N6" s="17">
        <v>0.94117647058823528</v>
      </c>
      <c r="O6" s="17">
        <v>-0.66666666666666663</v>
      </c>
      <c r="P6" s="12"/>
      <c r="Q6" s="12"/>
      <c r="R6" s="20" t="s">
        <v>5</v>
      </c>
      <c r="S6" s="20" t="s">
        <v>74</v>
      </c>
      <c r="T6" s="16" t="s">
        <v>192</v>
      </c>
      <c r="U6" s="17">
        <v>4.333333333333333</v>
      </c>
      <c r="V6" s="17">
        <v>-0.1875</v>
      </c>
      <c r="W6" s="17">
        <v>-0.15384615384615385</v>
      </c>
    </row>
    <row r="7" spans="1:23" ht="45" x14ac:dyDescent="0.25">
      <c r="A7">
        <v>202320</v>
      </c>
      <c r="B7" t="s">
        <v>3</v>
      </c>
      <c r="C7" t="s">
        <v>25</v>
      </c>
      <c r="D7">
        <v>57</v>
      </c>
      <c r="E7">
        <v>138926.59</v>
      </c>
      <c r="F7" s="5">
        <v>0.67647058823529416</v>
      </c>
      <c r="G7" s="5">
        <v>0.57120766213535201</v>
      </c>
      <c r="I7" s="20" t="s">
        <v>5</v>
      </c>
      <c r="J7" s="20" t="s">
        <v>74</v>
      </c>
      <c r="K7" s="10" t="s">
        <v>72</v>
      </c>
      <c r="L7" s="12">
        <v>-0.636036368960331</v>
      </c>
      <c r="M7" s="12">
        <v>1.0782745713855486</v>
      </c>
      <c r="N7" s="12">
        <v>0.58309074112888826</v>
      </c>
      <c r="O7" s="12">
        <v>-0.58005776520259489</v>
      </c>
      <c r="P7" s="12"/>
      <c r="Q7" s="12"/>
      <c r="R7" s="20" t="s">
        <v>5</v>
      </c>
      <c r="S7" s="20" t="s">
        <v>74</v>
      </c>
      <c r="T7" s="10" t="s">
        <v>72</v>
      </c>
      <c r="U7" s="12">
        <v>2.1916204027861195</v>
      </c>
      <c r="V7" s="12">
        <v>-0.32915227521787316</v>
      </c>
      <c r="W7" s="12">
        <v>-6.8094603391091357E-2</v>
      </c>
    </row>
    <row r="8" spans="1:23" ht="15" customHeight="1" x14ac:dyDescent="0.25">
      <c r="A8">
        <v>202410</v>
      </c>
      <c r="B8" t="s">
        <v>3</v>
      </c>
      <c r="C8" t="s">
        <v>25</v>
      </c>
      <c r="D8">
        <v>85</v>
      </c>
      <c r="E8">
        <v>204006.38</v>
      </c>
      <c r="F8" s="5">
        <v>-3.4090909090909088E-2</v>
      </c>
      <c r="G8" s="5">
        <v>-9.9060539427697797E-2</v>
      </c>
      <c r="I8" s="20" t="s">
        <v>5</v>
      </c>
      <c r="J8" s="21" t="s">
        <v>75</v>
      </c>
      <c r="K8" s="10" t="s">
        <v>192</v>
      </c>
      <c r="L8" s="12">
        <v>2.2900763358778626E-2</v>
      </c>
      <c r="M8" s="12">
        <v>0.47014925373134331</v>
      </c>
      <c r="N8" s="12">
        <v>-0.29441624365482233</v>
      </c>
      <c r="O8" s="12">
        <v>0.1223021582733813</v>
      </c>
      <c r="P8" s="12"/>
      <c r="Q8" s="12"/>
      <c r="R8" s="20" t="s">
        <v>5</v>
      </c>
      <c r="S8" s="21" t="s">
        <v>75</v>
      </c>
      <c r="T8" s="10" t="s">
        <v>192</v>
      </c>
      <c r="U8" s="12">
        <v>0.31818181818181818</v>
      </c>
      <c r="V8" s="12">
        <v>0.48275862068965519</v>
      </c>
      <c r="W8" s="12">
        <v>-0.37209302325581395</v>
      </c>
    </row>
    <row r="9" spans="1:23" ht="45" x14ac:dyDescent="0.25">
      <c r="A9">
        <v>202420</v>
      </c>
      <c r="B9" t="s">
        <v>3</v>
      </c>
      <c r="C9" t="s">
        <v>25</v>
      </c>
      <c r="D9">
        <v>53</v>
      </c>
      <c r="E9">
        <v>109255.38</v>
      </c>
      <c r="F9" s="5">
        <v>-7.0175438596491224E-2</v>
      </c>
      <c r="G9" s="5">
        <v>-0.21357473756463749</v>
      </c>
      <c r="I9" s="20" t="s">
        <v>5</v>
      </c>
      <c r="J9" s="21" t="s">
        <v>75</v>
      </c>
      <c r="K9" s="14" t="s">
        <v>72</v>
      </c>
      <c r="L9" s="13">
        <v>4.8116413361301659E-2</v>
      </c>
      <c r="M9" s="13">
        <v>0.53288559960108739</v>
      </c>
      <c r="N9" s="13">
        <v>-0.27716520888074692</v>
      </c>
      <c r="O9" s="13">
        <v>3.8477619421244863E-2</v>
      </c>
      <c r="P9" s="12"/>
      <c r="Q9" s="12"/>
      <c r="R9" s="20" t="s">
        <v>5</v>
      </c>
      <c r="S9" s="21" t="s">
        <v>75</v>
      </c>
      <c r="T9" s="14" t="s">
        <v>72</v>
      </c>
      <c r="U9" s="13">
        <v>0.27018884122765657</v>
      </c>
      <c r="V9" s="13">
        <v>0.42101011277048916</v>
      </c>
      <c r="W9" s="13">
        <v>-0.39237385428950711</v>
      </c>
    </row>
    <row r="10" spans="1:23" ht="15" customHeight="1" x14ac:dyDescent="0.25">
      <c r="A10" s="2">
        <v>202510</v>
      </c>
      <c r="B10" s="2" t="s">
        <v>3</v>
      </c>
      <c r="C10" s="2" t="s">
        <v>25</v>
      </c>
      <c r="D10" s="2">
        <v>120</v>
      </c>
      <c r="E10" s="2">
        <v>295209.69</v>
      </c>
      <c r="F10" s="6">
        <v>0.41176470588235292</v>
      </c>
      <c r="G10" s="6">
        <v>0.44706106740387236</v>
      </c>
      <c r="I10" s="20" t="s">
        <v>6</v>
      </c>
      <c r="J10" s="20" t="s">
        <v>76</v>
      </c>
      <c r="K10" s="16" t="s">
        <v>192</v>
      </c>
      <c r="L10" s="17">
        <v>0.2857142857142857</v>
      </c>
      <c r="M10" s="17">
        <v>-3.4188034188034191E-2</v>
      </c>
      <c r="N10" s="17">
        <v>-7.0796460176991149E-2</v>
      </c>
      <c r="O10" s="17">
        <v>0.13333333333333333</v>
      </c>
      <c r="P10" s="12"/>
      <c r="Q10" s="12"/>
      <c r="R10" s="20" t="s">
        <v>6</v>
      </c>
      <c r="S10" s="20" t="s">
        <v>76</v>
      </c>
      <c r="T10" s="16" t="s">
        <v>192</v>
      </c>
      <c r="U10" s="17">
        <v>5.7692307692307696E-2</v>
      </c>
      <c r="V10" s="17">
        <v>5.4545454545454543E-2</v>
      </c>
      <c r="W10" s="17">
        <v>-0.34482758620689657</v>
      </c>
    </row>
    <row r="11" spans="1:23" ht="45" x14ac:dyDescent="0.25">
      <c r="A11">
        <v>202110</v>
      </c>
      <c r="B11" t="s">
        <v>4</v>
      </c>
      <c r="C11" t="s">
        <v>26</v>
      </c>
      <c r="D11">
        <v>26</v>
      </c>
      <c r="E11">
        <v>65015.21</v>
      </c>
      <c r="F11" s="5"/>
      <c r="G11" s="5"/>
      <c r="I11" s="20" t="s">
        <v>6</v>
      </c>
      <c r="J11" s="20" t="s">
        <v>76</v>
      </c>
      <c r="K11" s="10" t="s">
        <v>72</v>
      </c>
      <c r="L11" s="12">
        <v>0.29003217550465643</v>
      </c>
      <c r="M11" s="12">
        <v>3.0256893018888426E-2</v>
      </c>
      <c r="N11" s="12">
        <v>-0.11057203256823379</v>
      </c>
      <c r="O11" s="12">
        <v>9.6509073872812934E-2</v>
      </c>
      <c r="P11" s="12"/>
      <c r="Q11" s="12"/>
      <c r="R11" s="20" t="s">
        <v>6</v>
      </c>
      <c r="S11" s="20" t="s">
        <v>76</v>
      </c>
      <c r="T11" s="10" t="s">
        <v>72</v>
      </c>
      <c r="U11" s="12">
        <v>1.5034779973255974E-2</v>
      </c>
      <c r="V11" s="12">
        <v>0.13481537858843134</v>
      </c>
      <c r="W11" s="12">
        <v>-0.39419067335003072</v>
      </c>
    </row>
    <row r="12" spans="1:23" ht="15" customHeight="1" x14ac:dyDescent="0.25">
      <c r="A12">
        <v>202120</v>
      </c>
      <c r="B12" t="s">
        <v>4</v>
      </c>
      <c r="C12" t="s">
        <v>26</v>
      </c>
      <c r="D12">
        <v>7</v>
      </c>
      <c r="E12">
        <v>19021.47</v>
      </c>
      <c r="F12" s="5"/>
      <c r="G12" s="5"/>
      <c r="I12" s="20" t="s">
        <v>6</v>
      </c>
      <c r="J12" s="21" t="s">
        <v>77</v>
      </c>
      <c r="K12" s="10" t="s">
        <v>192</v>
      </c>
      <c r="L12" s="12">
        <v>1.375</v>
      </c>
      <c r="M12" s="12">
        <v>-0.31578947368421051</v>
      </c>
      <c r="N12" s="12">
        <v>0.53846153846153844</v>
      </c>
      <c r="O12" s="12">
        <v>-0.32500000000000001</v>
      </c>
      <c r="P12" s="12"/>
      <c r="Q12" s="12"/>
      <c r="R12" s="20" t="s">
        <v>6</v>
      </c>
      <c r="S12" s="21" t="s">
        <v>77</v>
      </c>
      <c r="T12" s="10" t="s">
        <v>192</v>
      </c>
      <c r="U12" s="12">
        <v>0.3125</v>
      </c>
      <c r="V12" s="12">
        <v>-0.33333333333333331</v>
      </c>
      <c r="W12" s="12">
        <v>0.14285714285714285</v>
      </c>
    </row>
    <row r="13" spans="1:23" ht="45" x14ac:dyDescent="0.25">
      <c r="A13">
        <v>202210</v>
      </c>
      <c r="B13" t="s">
        <v>4</v>
      </c>
      <c r="C13" t="s">
        <v>26</v>
      </c>
      <c r="D13">
        <v>33</v>
      </c>
      <c r="E13">
        <v>82426.8</v>
      </c>
      <c r="F13" s="5">
        <v>0.26923076923076922</v>
      </c>
      <c r="G13" s="5">
        <v>0.26780794832470745</v>
      </c>
      <c r="I13" s="20" t="s">
        <v>6</v>
      </c>
      <c r="J13" s="21" t="s">
        <v>77</v>
      </c>
      <c r="K13" s="10" t="s">
        <v>72</v>
      </c>
      <c r="L13" s="12">
        <v>1.5117913218390155</v>
      </c>
      <c r="M13" s="12">
        <v>-0.29902476104657127</v>
      </c>
      <c r="N13" s="12">
        <v>0.41741138195734634</v>
      </c>
      <c r="O13" s="12">
        <v>-0.30710096874299397</v>
      </c>
      <c r="P13" s="12"/>
      <c r="Q13" s="12"/>
      <c r="R13" s="20" t="s">
        <v>6</v>
      </c>
      <c r="S13" s="21" t="s">
        <v>77</v>
      </c>
      <c r="T13" s="10" t="s">
        <v>72</v>
      </c>
      <c r="U13" s="12">
        <v>0.32081057848601541</v>
      </c>
      <c r="V13" s="12">
        <v>-0.39187322465647112</v>
      </c>
      <c r="W13" s="12">
        <v>0.20484325005742235</v>
      </c>
    </row>
    <row r="14" spans="1:23" ht="15" customHeight="1" x14ac:dyDescent="0.25">
      <c r="A14">
        <v>202220</v>
      </c>
      <c r="B14" t="s">
        <v>4</v>
      </c>
      <c r="C14" t="s">
        <v>26</v>
      </c>
      <c r="D14">
        <v>2</v>
      </c>
      <c r="E14">
        <v>4403.12</v>
      </c>
      <c r="F14" s="5">
        <v>-0.7142857142857143</v>
      </c>
      <c r="G14" s="5">
        <v>-0.76851841629485007</v>
      </c>
      <c r="I14" s="20" t="s">
        <v>6</v>
      </c>
      <c r="J14" s="21" t="s">
        <v>78</v>
      </c>
      <c r="K14" s="10" t="s">
        <v>192</v>
      </c>
      <c r="L14" s="12">
        <v>0.66666666666666663</v>
      </c>
      <c r="M14" s="12">
        <v>0</v>
      </c>
      <c r="N14" s="12">
        <v>-0.9</v>
      </c>
      <c r="O14" s="12">
        <v>8</v>
      </c>
      <c r="P14" s="12"/>
      <c r="Q14" s="12"/>
      <c r="R14" s="20" t="s">
        <v>6</v>
      </c>
      <c r="S14" s="21" t="s">
        <v>78</v>
      </c>
      <c r="T14" s="10" t="s">
        <v>192</v>
      </c>
      <c r="U14" s="12">
        <v>0.375</v>
      </c>
      <c r="V14" s="12">
        <v>-0.36363636363636365</v>
      </c>
      <c r="W14" s="12">
        <v>-0.8571428571428571</v>
      </c>
    </row>
    <row r="15" spans="1:23" ht="45" x14ac:dyDescent="0.25">
      <c r="A15">
        <v>202310</v>
      </c>
      <c r="B15" t="s">
        <v>4</v>
      </c>
      <c r="C15" t="s">
        <v>26</v>
      </c>
      <c r="D15">
        <v>32</v>
      </c>
      <c r="E15">
        <v>85221.96</v>
      </c>
      <c r="F15" s="5">
        <v>-3.0303030303030304E-2</v>
      </c>
      <c r="G15" s="5">
        <v>3.3910815414404091E-2</v>
      </c>
      <c r="I15" s="20" t="s">
        <v>6</v>
      </c>
      <c r="J15" s="21" t="s">
        <v>78</v>
      </c>
      <c r="K15" s="14" t="s">
        <v>72</v>
      </c>
      <c r="L15" s="13">
        <v>0.88343273234380626</v>
      </c>
      <c r="M15" s="13">
        <v>-3.4064975388856819E-2</v>
      </c>
      <c r="N15" s="13">
        <v>-0.91332701836199359</v>
      </c>
      <c r="O15" s="13">
        <v>9.5003825136612026</v>
      </c>
      <c r="P15" s="12"/>
      <c r="Q15" s="12"/>
      <c r="R15" s="20" t="s">
        <v>6</v>
      </c>
      <c r="S15" s="21" t="s">
        <v>78</v>
      </c>
      <c r="T15" s="14" t="s">
        <v>72</v>
      </c>
      <c r="U15" s="13">
        <v>0.70018066294900705</v>
      </c>
      <c r="V15" s="13">
        <v>-0.34742415329019244</v>
      </c>
      <c r="W15" s="13">
        <v>-0.86352247263361237</v>
      </c>
    </row>
    <row r="16" spans="1:23" ht="15" customHeight="1" x14ac:dyDescent="0.25">
      <c r="A16">
        <v>202320</v>
      </c>
      <c r="B16" t="s">
        <v>4</v>
      </c>
      <c r="C16" t="s">
        <v>26</v>
      </c>
      <c r="D16">
        <v>25</v>
      </c>
      <c r="E16">
        <v>57403.040000000001</v>
      </c>
      <c r="F16" s="5">
        <v>11.5</v>
      </c>
      <c r="G16" s="5">
        <v>12.036901106488127</v>
      </c>
      <c r="I16" s="20" t="s">
        <v>79</v>
      </c>
      <c r="J16" s="20" t="s">
        <v>80</v>
      </c>
      <c r="K16" s="16" t="s">
        <v>192</v>
      </c>
      <c r="L16" s="17">
        <v>-0.109375</v>
      </c>
      <c r="M16" s="17">
        <v>0.14035087719298245</v>
      </c>
      <c r="N16" s="17">
        <v>-0.24615384615384617</v>
      </c>
      <c r="O16" s="17">
        <v>0.40816326530612246</v>
      </c>
      <c r="P16" s="12"/>
      <c r="Q16" s="12"/>
      <c r="R16" s="20" t="s">
        <v>79</v>
      </c>
      <c r="S16" s="20" t="s">
        <v>80</v>
      </c>
      <c r="T16" s="16" t="s">
        <v>192</v>
      </c>
      <c r="U16" s="17">
        <v>0.4</v>
      </c>
      <c r="V16" s="17">
        <v>-0.11904761904761904</v>
      </c>
      <c r="W16" s="17">
        <v>-0.35135135135135137</v>
      </c>
    </row>
    <row r="17" spans="1:23" ht="60" x14ac:dyDescent="0.25">
      <c r="A17">
        <v>202410</v>
      </c>
      <c r="B17" t="s">
        <v>4</v>
      </c>
      <c r="C17" t="s">
        <v>26</v>
      </c>
      <c r="D17">
        <v>26</v>
      </c>
      <c r="E17">
        <v>63620.22</v>
      </c>
      <c r="F17" s="5">
        <v>-0.1875</v>
      </c>
      <c r="G17" s="5">
        <v>-0.25347621669344383</v>
      </c>
      <c r="I17" s="20" t="s">
        <v>79</v>
      </c>
      <c r="J17" s="20" t="s">
        <v>80</v>
      </c>
      <c r="K17" s="10" t="s">
        <v>72</v>
      </c>
      <c r="L17" s="12">
        <v>-0.14621729701902572</v>
      </c>
      <c r="M17" s="12">
        <v>0.17901056373413504</v>
      </c>
      <c r="N17" s="12">
        <v>-0.25920648072160452</v>
      </c>
      <c r="O17" s="12">
        <v>0.33942064527128785</v>
      </c>
      <c r="P17" s="12"/>
      <c r="Q17" s="12"/>
      <c r="R17" s="20" t="s">
        <v>79</v>
      </c>
      <c r="S17" s="20" t="s">
        <v>80</v>
      </c>
      <c r="T17" s="10" t="s">
        <v>72</v>
      </c>
      <c r="U17" s="12">
        <v>0.44132168823544959</v>
      </c>
      <c r="V17" s="12">
        <v>-0.11360121078491757</v>
      </c>
      <c r="W17" s="12">
        <v>-0.42330015990537484</v>
      </c>
    </row>
    <row r="18" spans="1:23" ht="15" customHeight="1" x14ac:dyDescent="0.25">
      <c r="A18">
        <v>202420</v>
      </c>
      <c r="B18" t="s">
        <v>4</v>
      </c>
      <c r="C18" t="s">
        <v>26</v>
      </c>
      <c r="D18">
        <v>13</v>
      </c>
      <c r="E18">
        <v>32554.35</v>
      </c>
      <c r="F18" s="5">
        <v>-0.48</v>
      </c>
      <c r="G18" s="5">
        <v>-0.4328810808626164</v>
      </c>
      <c r="I18" s="20" t="s">
        <v>79</v>
      </c>
      <c r="J18" s="21" t="s">
        <v>81</v>
      </c>
      <c r="K18" s="10" t="s">
        <v>192</v>
      </c>
      <c r="L18" s="12">
        <v>0.66666666666666663</v>
      </c>
      <c r="M18" s="12">
        <v>0.05</v>
      </c>
      <c r="N18" s="12">
        <v>0.19047619047619047</v>
      </c>
      <c r="O18" s="12">
        <v>-0.36</v>
      </c>
      <c r="P18" s="12"/>
      <c r="Q18" s="12"/>
      <c r="R18" s="20" t="s">
        <v>79</v>
      </c>
      <c r="S18" s="21" t="s">
        <v>81</v>
      </c>
      <c r="T18" s="10" t="s">
        <v>192</v>
      </c>
      <c r="U18" s="12">
        <v>0</v>
      </c>
      <c r="V18" s="12">
        <v>0.45454545454545453</v>
      </c>
      <c r="W18" s="12">
        <v>-0.375</v>
      </c>
    </row>
    <row r="19" spans="1:23" ht="60" x14ac:dyDescent="0.25">
      <c r="A19" s="2">
        <v>202510</v>
      </c>
      <c r="B19" s="2" t="s">
        <v>4</v>
      </c>
      <c r="C19" s="2" t="s">
        <v>26</v>
      </c>
      <c r="D19" s="2">
        <v>25</v>
      </c>
      <c r="E19" s="2">
        <v>59665.11</v>
      </c>
      <c r="F19" s="6">
        <v>-3.8461538461538464E-2</v>
      </c>
      <c r="G19" s="6">
        <v>-6.2167499577964372E-2</v>
      </c>
      <c r="I19" s="20" t="s">
        <v>79</v>
      </c>
      <c r="J19" s="21" t="s">
        <v>81</v>
      </c>
      <c r="K19" s="10" t="s">
        <v>72</v>
      </c>
      <c r="L19" s="12">
        <v>0.91194334565143786</v>
      </c>
      <c r="M19" s="12">
        <v>0.10020881357894192</v>
      </c>
      <c r="N19" s="12">
        <v>0.17095355089969494</v>
      </c>
      <c r="O19" s="12">
        <v>-0.3639767085568677</v>
      </c>
      <c r="P19" s="12"/>
      <c r="Q19" s="12"/>
      <c r="R19" s="20" t="s">
        <v>79</v>
      </c>
      <c r="S19" s="21" t="s">
        <v>81</v>
      </c>
      <c r="T19" s="10" t="s">
        <v>72</v>
      </c>
      <c r="U19" s="12">
        <v>4.5834871902895979E-2</v>
      </c>
      <c r="V19" s="12">
        <v>0.58823894684550426</v>
      </c>
      <c r="W19" s="12">
        <v>-0.4606422236324102</v>
      </c>
    </row>
    <row r="20" spans="1:23" ht="15" customHeight="1" x14ac:dyDescent="0.25">
      <c r="A20">
        <v>202110</v>
      </c>
      <c r="B20" t="s">
        <v>5</v>
      </c>
      <c r="C20" t="s">
        <v>27</v>
      </c>
      <c r="D20">
        <v>11</v>
      </c>
      <c r="E20">
        <v>25544.86</v>
      </c>
      <c r="F20" s="5"/>
      <c r="G20" s="5"/>
      <c r="I20" s="20" t="s">
        <v>79</v>
      </c>
      <c r="J20" s="21" t="s">
        <v>82</v>
      </c>
      <c r="K20" s="10" t="s">
        <v>192</v>
      </c>
      <c r="L20" s="12">
        <v>0.36842105263157893</v>
      </c>
      <c r="M20" s="12">
        <v>0.15384615384615385</v>
      </c>
      <c r="N20" s="12">
        <v>0.3</v>
      </c>
      <c r="O20" s="12">
        <v>-0.17948717948717949</v>
      </c>
      <c r="P20" s="12"/>
      <c r="Q20" s="12"/>
      <c r="R20" s="20" t="s">
        <v>79</v>
      </c>
      <c r="S20" s="21" t="s">
        <v>82</v>
      </c>
      <c r="T20" s="10" t="s">
        <v>192</v>
      </c>
      <c r="U20" s="12">
        <v>0.33333333333333331</v>
      </c>
      <c r="V20" s="12">
        <v>-0.45</v>
      </c>
      <c r="W20" s="12">
        <v>-0.27272727272727271</v>
      </c>
    </row>
    <row r="21" spans="1:23" ht="60" x14ac:dyDescent="0.25">
      <c r="A21">
        <v>202120</v>
      </c>
      <c r="B21" t="s">
        <v>5</v>
      </c>
      <c r="C21" t="s">
        <v>27</v>
      </c>
      <c r="D21">
        <v>3</v>
      </c>
      <c r="E21">
        <v>6027.02</v>
      </c>
      <c r="F21" s="5"/>
      <c r="G21" s="5"/>
      <c r="I21" s="20" t="s">
        <v>79</v>
      </c>
      <c r="J21" s="21" t="s">
        <v>82</v>
      </c>
      <c r="K21" s="10" t="s">
        <v>72</v>
      </c>
      <c r="L21" s="12">
        <v>0.35015455037219706</v>
      </c>
      <c r="M21" s="12">
        <v>0.19587375816568589</v>
      </c>
      <c r="N21" s="12">
        <v>0.24548878752197473</v>
      </c>
      <c r="O21" s="12">
        <v>-0.13991685340546686</v>
      </c>
      <c r="P21" s="12"/>
      <c r="Q21" s="12"/>
      <c r="R21" s="20" t="s">
        <v>79</v>
      </c>
      <c r="S21" s="21" t="s">
        <v>82</v>
      </c>
      <c r="T21" s="10" t="s">
        <v>72</v>
      </c>
      <c r="U21" s="12">
        <v>0.31922582606832639</v>
      </c>
      <c r="V21" s="12">
        <v>-0.40631953461388182</v>
      </c>
      <c r="W21" s="12">
        <v>-0.39805294715355949</v>
      </c>
    </row>
    <row r="22" spans="1:23" ht="15" customHeight="1" x14ac:dyDescent="0.25">
      <c r="A22">
        <v>202210</v>
      </c>
      <c r="B22" t="s">
        <v>5</v>
      </c>
      <c r="C22" t="s">
        <v>27</v>
      </c>
      <c r="D22">
        <v>8</v>
      </c>
      <c r="E22">
        <v>9297.4</v>
      </c>
      <c r="F22" s="5">
        <v>-0.27272727272727271</v>
      </c>
      <c r="G22" s="5">
        <v>-0.636036368960331</v>
      </c>
      <c r="I22" s="20" t="s">
        <v>79</v>
      </c>
      <c r="J22" s="21" t="s">
        <v>83</v>
      </c>
      <c r="K22" s="10" t="s">
        <v>192</v>
      </c>
      <c r="L22" s="12">
        <v>0.77777777777777779</v>
      </c>
      <c r="M22" s="12">
        <v>6.25E-2</v>
      </c>
      <c r="N22" s="12">
        <v>0.29411764705882354</v>
      </c>
      <c r="O22" s="12">
        <v>-0.19318181818181818</v>
      </c>
      <c r="P22" s="12"/>
      <c r="Q22" s="12"/>
      <c r="R22" s="20" t="s">
        <v>79</v>
      </c>
      <c r="S22" s="21" t="s">
        <v>83</v>
      </c>
      <c r="T22" s="10" t="s">
        <v>192</v>
      </c>
      <c r="U22" s="12">
        <v>1.2173913043478262</v>
      </c>
      <c r="V22" s="12">
        <v>7.8431372549019607E-2</v>
      </c>
      <c r="W22" s="12">
        <v>-0.2</v>
      </c>
    </row>
    <row r="23" spans="1:23" ht="60" x14ac:dyDescent="0.25">
      <c r="A23">
        <v>202220</v>
      </c>
      <c r="B23" t="s">
        <v>5</v>
      </c>
      <c r="C23" t="s">
        <v>27</v>
      </c>
      <c r="D23">
        <v>16</v>
      </c>
      <c r="E23">
        <v>19235.96</v>
      </c>
      <c r="F23" s="5">
        <v>4.333333333333333</v>
      </c>
      <c r="G23" s="5">
        <v>2.1916204027861195</v>
      </c>
      <c r="I23" s="20" t="s">
        <v>79</v>
      </c>
      <c r="J23" s="21" t="s">
        <v>83</v>
      </c>
      <c r="K23" s="10" t="s">
        <v>72</v>
      </c>
      <c r="L23" s="12">
        <v>0.76278968290371274</v>
      </c>
      <c r="M23" s="12">
        <v>0.13512415283225954</v>
      </c>
      <c r="N23" s="12">
        <v>0.14657883116554268</v>
      </c>
      <c r="O23" s="12">
        <v>-0.19763712125348992</v>
      </c>
      <c r="P23" s="12"/>
      <c r="Q23" s="12"/>
      <c r="R23" s="20" t="s">
        <v>79</v>
      </c>
      <c r="S23" s="21" t="s">
        <v>83</v>
      </c>
      <c r="T23" s="10" t="s">
        <v>72</v>
      </c>
      <c r="U23" s="12">
        <v>1.2519008414600341</v>
      </c>
      <c r="V23" s="12">
        <v>-5.8203451808280411E-2</v>
      </c>
      <c r="W23" s="12">
        <v>-0.12821305451139267</v>
      </c>
    </row>
    <row r="24" spans="1:23" ht="15" customHeight="1" x14ac:dyDescent="0.25">
      <c r="A24">
        <v>202310</v>
      </c>
      <c r="B24" t="s">
        <v>5</v>
      </c>
      <c r="C24" t="s">
        <v>27</v>
      </c>
      <c r="D24">
        <v>17</v>
      </c>
      <c r="E24">
        <v>19322.55</v>
      </c>
      <c r="F24" s="5">
        <v>1.125</v>
      </c>
      <c r="G24" s="5">
        <v>1.0782745713855486</v>
      </c>
      <c r="I24" s="20" t="s">
        <v>79</v>
      </c>
      <c r="J24" s="21" t="s">
        <v>84</v>
      </c>
      <c r="K24" s="10" t="s">
        <v>192</v>
      </c>
      <c r="L24" s="12">
        <v>-0.31578947368421051</v>
      </c>
      <c r="M24" s="12">
        <v>0.23076923076923078</v>
      </c>
      <c r="N24" s="12">
        <v>0.5</v>
      </c>
      <c r="O24" s="12">
        <v>-0.45833333333333331</v>
      </c>
      <c r="P24" s="12"/>
      <c r="Q24" s="12"/>
      <c r="R24" s="20" t="s">
        <v>79</v>
      </c>
      <c r="S24" s="21" t="s">
        <v>84</v>
      </c>
      <c r="T24" s="10" t="s">
        <v>192</v>
      </c>
      <c r="U24" s="12">
        <v>0.6</v>
      </c>
      <c r="V24" s="12">
        <v>-0.125</v>
      </c>
      <c r="W24" s="12">
        <v>0.42857142857142855</v>
      </c>
    </row>
    <row r="25" spans="1:23" ht="60" x14ac:dyDescent="0.25">
      <c r="A25">
        <v>202320</v>
      </c>
      <c r="B25" t="s">
        <v>5</v>
      </c>
      <c r="C25" t="s">
        <v>27</v>
      </c>
      <c r="D25">
        <v>13</v>
      </c>
      <c r="E25">
        <v>12904.4</v>
      </c>
      <c r="F25" s="5">
        <v>-0.1875</v>
      </c>
      <c r="G25" s="5">
        <v>-0.32915227521787316</v>
      </c>
      <c r="I25" s="20" t="s">
        <v>79</v>
      </c>
      <c r="J25" s="21" t="s">
        <v>84</v>
      </c>
      <c r="K25" s="10" t="s">
        <v>72</v>
      </c>
      <c r="L25" s="12">
        <v>-0.36960122939438195</v>
      </c>
      <c r="M25" s="12">
        <v>0.39991431137379185</v>
      </c>
      <c r="N25" s="12">
        <v>0.38912296011115105</v>
      </c>
      <c r="O25" s="12">
        <v>-0.45789635057876699</v>
      </c>
      <c r="P25" s="12"/>
      <c r="Q25" s="12"/>
      <c r="R25" s="20" t="s">
        <v>79</v>
      </c>
      <c r="S25" s="21" t="s">
        <v>84</v>
      </c>
      <c r="T25" s="10" t="s">
        <v>72</v>
      </c>
      <c r="U25" s="12">
        <v>0.42501221138232864</v>
      </c>
      <c r="V25" s="12">
        <v>-1.6902863310118966E-2</v>
      </c>
      <c r="W25" s="12">
        <v>0.29409284131825947</v>
      </c>
    </row>
    <row r="26" spans="1:23" ht="15" customHeight="1" x14ac:dyDescent="0.25">
      <c r="A26">
        <v>202410</v>
      </c>
      <c r="B26" t="s">
        <v>5</v>
      </c>
      <c r="C26" t="s">
        <v>27</v>
      </c>
      <c r="D26">
        <v>33</v>
      </c>
      <c r="E26">
        <v>30589.35</v>
      </c>
      <c r="F26" s="5">
        <v>0.94117647058823528</v>
      </c>
      <c r="G26" s="5">
        <v>0.58309074112888826</v>
      </c>
      <c r="I26" s="20" t="s">
        <v>79</v>
      </c>
      <c r="J26" s="21" t="s">
        <v>85</v>
      </c>
      <c r="K26" s="10" t="s">
        <v>192</v>
      </c>
      <c r="L26" s="18"/>
      <c r="M26" s="12">
        <v>17</v>
      </c>
      <c r="N26" s="12">
        <v>-0.1388888888888889</v>
      </c>
      <c r="O26" s="12">
        <v>9.6774193548387094E-2</v>
      </c>
      <c r="P26" s="12"/>
      <c r="Q26" s="12"/>
      <c r="R26" s="20" t="s">
        <v>79</v>
      </c>
      <c r="S26" s="21" t="s">
        <v>85</v>
      </c>
      <c r="T26" s="10" t="s">
        <v>192</v>
      </c>
      <c r="U26" s="18"/>
      <c r="V26" s="12">
        <v>-7.6923076923076927E-2</v>
      </c>
      <c r="W26" s="12">
        <v>0.16666666666666666</v>
      </c>
    </row>
    <row r="27" spans="1:23" ht="60" x14ac:dyDescent="0.25">
      <c r="A27">
        <v>202420</v>
      </c>
      <c r="B27" t="s">
        <v>5</v>
      </c>
      <c r="C27" t="s">
        <v>27</v>
      </c>
      <c r="D27">
        <v>11</v>
      </c>
      <c r="E27">
        <v>12025.68</v>
      </c>
      <c r="F27" s="5">
        <v>-0.15384615384615385</v>
      </c>
      <c r="G27" s="5">
        <v>-6.8094603391091357E-2</v>
      </c>
      <c r="I27" s="20" t="s">
        <v>79</v>
      </c>
      <c r="J27" s="21" t="s">
        <v>85</v>
      </c>
      <c r="K27" s="10" t="s">
        <v>72</v>
      </c>
      <c r="L27" s="18"/>
      <c r="M27" s="12">
        <v>16.122218983952351</v>
      </c>
      <c r="N27" s="12">
        <v>-0.15660249276403959</v>
      </c>
      <c r="O27" s="12">
        <v>0.1238888100531353</v>
      </c>
      <c r="P27" s="12"/>
      <c r="Q27" s="12"/>
      <c r="R27" s="20" t="s">
        <v>79</v>
      </c>
      <c r="S27" s="21" t="s">
        <v>85</v>
      </c>
      <c r="T27" s="10" t="s">
        <v>72</v>
      </c>
      <c r="U27" s="18"/>
      <c r="V27" s="12">
        <v>-3.2210289726567073E-2</v>
      </c>
      <c r="W27" s="12">
        <v>6.0949125843963399E-2</v>
      </c>
    </row>
    <row r="28" spans="1:23" ht="15" customHeight="1" x14ac:dyDescent="0.25">
      <c r="A28" s="2">
        <v>202510</v>
      </c>
      <c r="B28" s="2" t="s">
        <v>5</v>
      </c>
      <c r="C28" s="2" t="s">
        <v>27</v>
      </c>
      <c r="D28" s="2">
        <v>11</v>
      </c>
      <c r="E28" s="2">
        <v>12845.76</v>
      </c>
      <c r="F28" s="6">
        <v>-0.66666666666666663</v>
      </c>
      <c r="G28" s="6">
        <v>-0.58005776520259489</v>
      </c>
      <c r="I28" s="20" t="s">
        <v>79</v>
      </c>
      <c r="J28" s="21" t="s">
        <v>86</v>
      </c>
      <c r="K28" s="10" t="s">
        <v>192</v>
      </c>
      <c r="L28" s="12">
        <v>4.6875E-2</v>
      </c>
      <c r="M28" s="12">
        <v>0.11940298507462686</v>
      </c>
      <c r="N28" s="12">
        <v>0.33333333333333331</v>
      </c>
      <c r="O28" s="12">
        <v>-0.05</v>
      </c>
      <c r="P28" s="12"/>
      <c r="Q28" s="12"/>
      <c r="R28" s="20" t="s">
        <v>79</v>
      </c>
      <c r="S28" s="21" t="s">
        <v>86</v>
      </c>
      <c r="T28" s="10" t="s">
        <v>192</v>
      </c>
      <c r="U28" s="12">
        <v>0.48214285714285715</v>
      </c>
      <c r="V28" s="12">
        <v>0.60240963855421692</v>
      </c>
      <c r="W28" s="12">
        <v>-0.19548872180451127</v>
      </c>
    </row>
    <row r="29" spans="1:23" ht="60" x14ac:dyDescent="0.25">
      <c r="A29">
        <v>202110</v>
      </c>
      <c r="B29" t="s">
        <v>5</v>
      </c>
      <c r="C29" t="s">
        <v>28</v>
      </c>
      <c r="D29">
        <v>131</v>
      </c>
      <c r="E29">
        <v>301568.82</v>
      </c>
      <c r="F29" s="5"/>
      <c r="G29" s="5"/>
      <c r="I29" s="20" t="s">
        <v>79</v>
      </c>
      <c r="J29" s="21" t="s">
        <v>86</v>
      </c>
      <c r="K29" s="10" t="s">
        <v>72</v>
      </c>
      <c r="L29" s="12">
        <v>7.2346091470169563E-3</v>
      </c>
      <c r="M29" s="12">
        <v>0.14354346482601224</v>
      </c>
      <c r="N29" s="12">
        <v>0.28393488771568259</v>
      </c>
      <c r="O29" s="12">
        <v>-2.0826799492787318E-2</v>
      </c>
      <c r="P29" s="12"/>
      <c r="Q29" s="12"/>
      <c r="R29" s="20" t="s">
        <v>79</v>
      </c>
      <c r="S29" s="21" t="s">
        <v>86</v>
      </c>
      <c r="T29" s="10" t="s">
        <v>72</v>
      </c>
      <c r="U29" s="12">
        <v>0.29429937809356566</v>
      </c>
      <c r="V29" s="12">
        <v>0.64079853041878998</v>
      </c>
      <c r="W29" s="12">
        <v>-0.21804610451257148</v>
      </c>
    </row>
    <row r="30" spans="1:23" ht="15" customHeight="1" x14ac:dyDescent="0.25">
      <c r="A30">
        <v>202120</v>
      </c>
      <c r="B30" t="s">
        <v>5</v>
      </c>
      <c r="C30" t="s">
        <v>28</v>
      </c>
      <c r="D30">
        <v>66</v>
      </c>
      <c r="E30">
        <v>155525.89000000001</v>
      </c>
      <c r="F30" s="5"/>
      <c r="G30" s="5"/>
      <c r="I30" s="20" t="s">
        <v>79</v>
      </c>
      <c r="J30" s="21" t="s">
        <v>87</v>
      </c>
      <c r="K30" s="10" t="s">
        <v>192</v>
      </c>
      <c r="L30" s="12">
        <v>-0.375</v>
      </c>
      <c r="M30" s="12">
        <v>-0.46666666666666667</v>
      </c>
      <c r="N30" s="12">
        <v>0.75</v>
      </c>
      <c r="O30" s="12">
        <v>0.42857142857142855</v>
      </c>
      <c r="P30" s="12"/>
      <c r="Q30" s="12"/>
      <c r="R30" s="20" t="s">
        <v>79</v>
      </c>
      <c r="S30" s="21" t="s">
        <v>87</v>
      </c>
      <c r="T30" s="10" t="s">
        <v>192</v>
      </c>
      <c r="U30" s="12">
        <v>-0.5</v>
      </c>
      <c r="V30" s="12">
        <v>2.5</v>
      </c>
      <c r="W30" s="12">
        <v>-0.14285714285714285</v>
      </c>
    </row>
    <row r="31" spans="1:23" ht="60" x14ac:dyDescent="0.25">
      <c r="A31">
        <v>202210</v>
      </c>
      <c r="B31" t="s">
        <v>5</v>
      </c>
      <c r="C31" t="s">
        <v>28</v>
      </c>
      <c r="D31">
        <v>134</v>
      </c>
      <c r="E31">
        <v>316079.23</v>
      </c>
      <c r="F31" s="5">
        <v>2.2900763358778626E-2</v>
      </c>
      <c r="G31" s="5">
        <v>4.8116413361301659E-2</v>
      </c>
      <c r="I31" s="20" t="s">
        <v>79</v>
      </c>
      <c r="J31" s="21" t="s">
        <v>87</v>
      </c>
      <c r="K31" s="14" t="s">
        <v>72</v>
      </c>
      <c r="L31" s="13">
        <v>-0.21993430542330888</v>
      </c>
      <c r="M31" s="13">
        <v>-0.47062107115249729</v>
      </c>
      <c r="N31" s="13">
        <v>0.79533933115595012</v>
      </c>
      <c r="O31" s="13">
        <v>0.47279575892857145</v>
      </c>
      <c r="P31" s="12"/>
      <c r="Q31" s="12"/>
      <c r="R31" s="20" t="s">
        <v>79</v>
      </c>
      <c r="S31" s="21" t="s">
        <v>87</v>
      </c>
      <c r="T31" s="14" t="s">
        <v>72</v>
      </c>
      <c r="U31" s="13">
        <v>-0.62364407826982504</v>
      </c>
      <c r="V31" s="13">
        <v>3.2919791652984594</v>
      </c>
      <c r="W31" s="13">
        <v>9.6832679503427027E-2</v>
      </c>
    </row>
    <row r="32" spans="1:23" ht="15" customHeight="1" x14ac:dyDescent="0.25">
      <c r="A32">
        <v>202220</v>
      </c>
      <c r="B32" t="s">
        <v>5</v>
      </c>
      <c r="C32" t="s">
        <v>28</v>
      </c>
      <c r="D32">
        <v>87</v>
      </c>
      <c r="E32">
        <v>197547.25</v>
      </c>
      <c r="F32" s="5">
        <v>0.31818181818181818</v>
      </c>
      <c r="G32" s="5">
        <v>0.27018884122765657</v>
      </c>
      <c r="I32" s="22" t="s">
        <v>88</v>
      </c>
      <c r="J32" s="20" t="s">
        <v>89</v>
      </c>
      <c r="K32" s="16" t="s">
        <v>192</v>
      </c>
      <c r="L32" s="17">
        <v>-0.2391304347826087</v>
      </c>
      <c r="M32" s="17">
        <v>8.5714285714285715E-2</v>
      </c>
      <c r="N32" s="17">
        <v>-2.6315789473684209E-2</v>
      </c>
      <c r="O32" s="17">
        <v>0.21621621621621623</v>
      </c>
      <c r="P32" s="12"/>
      <c r="Q32" s="12"/>
      <c r="R32" s="22" t="s">
        <v>88</v>
      </c>
      <c r="S32" s="20" t="s">
        <v>89</v>
      </c>
      <c r="T32" s="16" t="s">
        <v>192</v>
      </c>
      <c r="U32" s="17">
        <v>0</v>
      </c>
      <c r="V32" s="17">
        <v>0.23076923076923078</v>
      </c>
      <c r="W32" s="17">
        <v>0.5</v>
      </c>
    </row>
    <row r="33" spans="1:23" ht="75" x14ac:dyDescent="0.25">
      <c r="A33">
        <v>202310</v>
      </c>
      <c r="B33" t="s">
        <v>5</v>
      </c>
      <c r="C33" t="s">
        <v>28</v>
      </c>
      <c r="D33">
        <v>197</v>
      </c>
      <c r="E33">
        <v>484513.3</v>
      </c>
      <c r="F33" s="5">
        <v>0.47014925373134331</v>
      </c>
      <c r="G33" s="5">
        <v>0.53288559960108739</v>
      </c>
      <c r="I33" s="22" t="s">
        <v>88</v>
      </c>
      <c r="J33" s="20" t="s">
        <v>89</v>
      </c>
      <c r="K33" s="14" t="s">
        <v>72</v>
      </c>
      <c r="L33" s="13">
        <v>-0.25501489569680064</v>
      </c>
      <c r="M33" s="13">
        <v>2.6029016972562831E-2</v>
      </c>
      <c r="N33" s="13">
        <v>6.7858193382745818E-2</v>
      </c>
      <c r="O33" s="13">
        <v>0.22442838183346461</v>
      </c>
      <c r="P33" s="12"/>
      <c r="Q33" s="12"/>
      <c r="R33" s="22" t="s">
        <v>88</v>
      </c>
      <c r="S33" s="20" t="s">
        <v>89</v>
      </c>
      <c r="T33" s="14" t="s">
        <v>72</v>
      </c>
      <c r="U33" s="13">
        <v>-4.3683474750323963E-2</v>
      </c>
      <c r="V33" s="13">
        <v>0.22999085193320359</v>
      </c>
      <c r="W33" s="13">
        <v>0.59573878555632054</v>
      </c>
    </row>
    <row r="34" spans="1:23" ht="15" customHeight="1" x14ac:dyDescent="0.25">
      <c r="A34">
        <v>202320</v>
      </c>
      <c r="B34" t="s">
        <v>5</v>
      </c>
      <c r="C34" t="s">
        <v>28</v>
      </c>
      <c r="D34">
        <v>129</v>
      </c>
      <c r="E34">
        <v>280716.64</v>
      </c>
      <c r="F34" s="5">
        <v>0.48275862068965519</v>
      </c>
      <c r="G34" s="5">
        <v>0.42101011277048916</v>
      </c>
      <c r="I34" s="20" t="s">
        <v>9</v>
      </c>
      <c r="J34" s="20" t="s">
        <v>90</v>
      </c>
      <c r="K34" s="16" t="s">
        <v>192</v>
      </c>
      <c r="L34" s="17">
        <v>-0.3</v>
      </c>
      <c r="M34" s="17">
        <v>1</v>
      </c>
      <c r="N34" s="17">
        <v>0.5714285714285714</v>
      </c>
      <c r="O34" s="17">
        <v>-0.45454545454545453</v>
      </c>
      <c r="P34" s="12"/>
      <c r="Q34" s="12"/>
      <c r="R34" s="20" t="s">
        <v>9</v>
      </c>
      <c r="S34" s="20" t="s">
        <v>90</v>
      </c>
      <c r="T34" s="16" t="s">
        <v>192</v>
      </c>
      <c r="U34" s="17">
        <v>0.25</v>
      </c>
      <c r="V34" s="17">
        <v>0</v>
      </c>
      <c r="W34" s="17">
        <v>1</v>
      </c>
    </row>
    <row r="35" spans="1:23" ht="60" x14ac:dyDescent="0.25">
      <c r="A35">
        <v>202410</v>
      </c>
      <c r="B35" t="s">
        <v>5</v>
      </c>
      <c r="C35" t="s">
        <v>28</v>
      </c>
      <c r="D35">
        <v>139</v>
      </c>
      <c r="E35">
        <v>350223.07</v>
      </c>
      <c r="F35" s="5">
        <v>-0.29441624365482233</v>
      </c>
      <c r="G35" s="5">
        <v>-0.27716520888074692</v>
      </c>
      <c r="I35" s="20" t="s">
        <v>9</v>
      </c>
      <c r="J35" s="20" t="s">
        <v>90</v>
      </c>
      <c r="K35" s="10" t="s">
        <v>72</v>
      </c>
      <c r="L35" s="12">
        <v>-0.20776291676700223</v>
      </c>
      <c r="M35" s="12">
        <v>1.0885821619850518</v>
      </c>
      <c r="N35" s="12">
        <v>0.48472970439655838</v>
      </c>
      <c r="O35" s="12">
        <v>-0.46783740665100237</v>
      </c>
      <c r="P35" s="12"/>
      <c r="Q35" s="12"/>
      <c r="R35" s="20" t="s">
        <v>9</v>
      </c>
      <c r="S35" s="20" t="s">
        <v>90</v>
      </c>
      <c r="T35" s="10" t="s">
        <v>72</v>
      </c>
      <c r="U35" s="12">
        <v>-0.34861686053445756</v>
      </c>
      <c r="V35" s="12">
        <v>0.53296487432944994</v>
      </c>
      <c r="W35" s="12">
        <v>1.0393955213845585</v>
      </c>
    </row>
    <row r="36" spans="1:23" ht="15" customHeight="1" x14ac:dyDescent="0.25">
      <c r="A36">
        <v>202420</v>
      </c>
      <c r="B36" t="s">
        <v>5</v>
      </c>
      <c r="C36" t="s">
        <v>28</v>
      </c>
      <c r="D36">
        <v>81</v>
      </c>
      <c r="E36">
        <v>170570.77</v>
      </c>
      <c r="F36" s="5">
        <v>-0.37209302325581395</v>
      </c>
      <c r="G36" s="5">
        <v>-0.39237385428950711</v>
      </c>
      <c r="I36" s="20" t="s">
        <v>9</v>
      </c>
      <c r="J36" s="21" t="s">
        <v>91</v>
      </c>
      <c r="K36" s="10" t="s">
        <v>192</v>
      </c>
      <c r="L36" s="12">
        <v>0.22222222222222221</v>
      </c>
      <c r="M36" s="12">
        <v>-0.22727272727272727</v>
      </c>
      <c r="N36" s="12">
        <v>0.58823529411764708</v>
      </c>
      <c r="O36" s="12">
        <v>-0.37037037037037035</v>
      </c>
      <c r="P36" s="12"/>
      <c r="Q36" s="12"/>
      <c r="R36" s="20" t="s">
        <v>9</v>
      </c>
      <c r="S36" s="21" t="s">
        <v>91</v>
      </c>
      <c r="T36" s="10" t="s">
        <v>192</v>
      </c>
      <c r="U36" s="12">
        <v>0.5</v>
      </c>
      <c r="V36" s="12">
        <v>-0.41666666666666669</v>
      </c>
      <c r="W36" s="12">
        <v>1.8571428571428572</v>
      </c>
    </row>
    <row r="37" spans="1:23" ht="60" x14ac:dyDescent="0.25">
      <c r="A37" s="2">
        <v>202510</v>
      </c>
      <c r="B37" s="2" t="s">
        <v>5</v>
      </c>
      <c r="C37" s="2" t="s">
        <v>28</v>
      </c>
      <c r="D37" s="2">
        <v>156</v>
      </c>
      <c r="E37" s="2">
        <v>363698.82</v>
      </c>
      <c r="F37" s="6">
        <v>0.1223021582733813</v>
      </c>
      <c r="G37" s="6">
        <v>3.8477619421244863E-2</v>
      </c>
      <c r="I37" s="20" t="s">
        <v>9</v>
      </c>
      <c r="J37" s="21" t="s">
        <v>91</v>
      </c>
      <c r="K37" s="10" t="s">
        <v>72</v>
      </c>
      <c r="L37" s="12">
        <v>0.22623621520861145</v>
      </c>
      <c r="M37" s="12">
        <v>-0.23638305959265235</v>
      </c>
      <c r="N37" s="12">
        <v>0.41740124453045124</v>
      </c>
      <c r="O37" s="12">
        <v>-0.25996225091241937</v>
      </c>
      <c r="P37" s="12"/>
      <c r="Q37" s="12"/>
      <c r="R37" s="20" t="s">
        <v>9</v>
      </c>
      <c r="S37" s="21" t="s">
        <v>91</v>
      </c>
      <c r="T37" s="10" t="s">
        <v>72</v>
      </c>
      <c r="U37" s="12">
        <v>0.63172583920348246</v>
      </c>
      <c r="V37" s="12">
        <v>-0.47978444438796375</v>
      </c>
      <c r="W37" s="12">
        <v>1.9602940848271508</v>
      </c>
    </row>
    <row r="38" spans="1:23" ht="15" customHeight="1" x14ac:dyDescent="0.25">
      <c r="A38">
        <v>202110</v>
      </c>
      <c r="B38" t="s">
        <v>6</v>
      </c>
      <c r="C38" t="s">
        <v>29</v>
      </c>
      <c r="D38">
        <v>91</v>
      </c>
      <c r="E38">
        <v>240658.23</v>
      </c>
      <c r="F38" s="5"/>
      <c r="G38" s="5"/>
      <c r="I38" s="20" t="s">
        <v>9</v>
      </c>
      <c r="J38" s="21" t="s">
        <v>92</v>
      </c>
      <c r="K38" s="10" t="s">
        <v>192</v>
      </c>
      <c r="L38" s="12">
        <v>0.20833333333333334</v>
      </c>
      <c r="M38" s="12">
        <v>0.58620689655172409</v>
      </c>
      <c r="N38" s="12">
        <v>-8.6956521739130432E-2</v>
      </c>
      <c r="O38" s="12">
        <v>-0.2857142857142857</v>
      </c>
      <c r="P38" s="12"/>
      <c r="Q38" s="12"/>
      <c r="R38" s="20" t="s">
        <v>9</v>
      </c>
      <c r="S38" s="21" t="s">
        <v>92</v>
      </c>
      <c r="T38" s="10" t="s">
        <v>192</v>
      </c>
      <c r="U38" s="12">
        <v>0.7142857142857143</v>
      </c>
      <c r="V38" s="12">
        <v>-0.45833333333333331</v>
      </c>
      <c r="W38" s="12">
        <v>0</v>
      </c>
    </row>
    <row r="39" spans="1:23" ht="75" x14ac:dyDescent="0.25">
      <c r="A39">
        <v>202120</v>
      </c>
      <c r="B39" t="s">
        <v>6</v>
      </c>
      <c r="C39" t="s">
        <v>29</v>
      </c>
      <c r="D39">
        <v>52</v>
      </c>
      <c r="E39">
        <v>142439.73000000001</v>
      </c>
      <c r="F39" s="5"/>
      <c r="G39" s="5"/>
      <c r="I39" s="20" t="s">
        <v>9</v>
      </c>
      <c r="J39" s="21" t="s">
        <v>92</v>
      </c>
      <c r="K39" s="10" t="s">
        <v>72</v>
      </c>
      <c r="L39" s="12">
        <v>0.18523635697518187</v>
      </c>
      <c r="M39" s="12">
        <v>0.66274862039514548</v>
      </c>
      <c r="N39" s="12">
        <v>-0.10644388332040043</v>
      </c>
      <c r="O39" s="12">
        <v>-0.35757573803507303</v>
      </c>
      <c r="P39" s="12"/>
      <c r="Q39" s="12"/>
      <c r="R39" s="20" t="s">
        <v>9</v>
      </c>
      <c r="S39" s="21" t="s">
        <v>92</v>
      </c>
      <c r="T39" s="10" t="s">
        <v>72</v>
      </c>
      <c r="U39" s="12">
        <v>0.81210859712440187</v>
      </c>
      <c r="V39" s="12">
        <v>-0.53981649839971602</v>
      </c>
      <c r="W39" s="12">
        <v>0.29034734587494526</v>
      </c>
    </row>
    <row r="40" spans="1:23" ht="15" customHeight="1" x14ac:dyDescent="0.25">
      <c r="A40">
        <v>202210</v>
      </c>
      <c r="B40" t="s">
        <v>6</v>
      </c>
      <c r="C40" t="s">
        <v>29</v>
      </c>
      <c r="D40">
        <v>117</v>
      </c>
      <c r="E40">
        <v>310456.86</v>
      </c>
      <c r="F40" s="5">
        <v>0.2857142857142857</v>
      </c>
      <c r="G40" s="5">
        <v>0.29003217550465643</v>
      </c>
      <c r="I40" s="20" t="s">
        <v>9</v>
      </c>
      <c r="J40" s="21" t="s">
        <v>93</v>
      </c>
      <c r="K40" s="10" t="s">
        <v>192</v>
      </c>
      <c r="L40" s="12">
        <v>0.16438356164383561</v>
      </c>
      <c r="M40" s="12">
        <v>5.8823529411764705E-2</v>
      </c>
      <c r="N40" s="12">
        <v>-0.4777777777777778</v>
      </c>
      <c r="O40" s="12">
        <v>0.68085106382978722</v>
      </c>
      <c r="P40" s="12"/>
      <c r="Q40" s="12"/>
      <c r="R40" s="20" t="s">
        <v>9</v>
      </c>
      <c r="S40" s="21" t="s">
        <v>93</v>
      </c>
      <c r="T40" s="10" t="s">
        <v>192</v>
      </c>
      <c r="U40" s="12">
        <v>7.4999999999999997E-2</v>
      </c>
      <c r="V40" s="12">
        <v>-0.16279069767441862</v>
      </c>
      <c r="W40" s="12">
        <v>-0.33333333333333331</v>
      </c>
    </row>
    <row r="41" spans="1:23" ht="90" x14ac:dyDescent="0.25">
      <c r="A41">
        <v>202220</v>
      </c>
      <c r="B41" t="s">
        <v>6</v>
      </c>
      <c r="C41" t="s">
        <v>29</v>
      </c>
      <c r="D41">
        <v>55</v>
      </c>
      <c r="E41">
        <v>144581.28</v>
      </c>
      <c r="F41" s="5">
        <v>5.7692307692307696E-2</v>
      </c>
      <c r="G41" s="5">
        <v>1.5034779973255974E-2</v>
      </c>
      <c r="I41" s="20" t="s">
        <v>9</v>
      </c>
      <c r="J41" s="21" t="s">
        <v>93</v>
      </c>
      <c r="K41" s="10" t="s">
        <v>72</v>
      </c>
      <c r="L41" s="12">
        <v>9.9474172511406181E-2</v>
      </c>
      <c r="M41" s="12">
        <v>0.12627846347852065</v>
      </c>
      <c r="N41" s="12">
        <v>-0.48328051055500143</v>
      </c>
      <c r="O41" s="12">
        <v>0.63199360577178809</v>
      </c>
      <c r="P41" s="12"/>
      <c r="Q41" s="12"/>
      <c r="R41" s="20" t="s">
        <v>9</v>
      </c>
      <c r="S41" s="21" t="s">
        <v>93</v>
      </c>
      <c r="T41" s="10" t="s">
        <v>72</v>
      </c>
      <c r="U41" s="12">
        <v>1.0257068702868612E-2</v>
      </c>
      <c r="V41" s="12">
        <v>-8.2168310013088233E-2</v>
      </c>
      <c r="W41" s="12">
        <v>-0.35028586318419402</v>
      </c>
    </row>
    <row r="42" spans="1:23" ht="15" customHeight="1" x14ac:dyDescent="0.25">
      <c r="A42">
        <v>202310</v>
      </c>
      <c r="B42" t="s">
        <v>6</v>
      </c>
      <c r="C42" t="s">
        <v>29</v>
      </c>
      <c r="D42">
        <v>113</v>
      </c>
      <c r="E42">
        <v>319850.32</v>
      </c>
      <c r="F42" s="5">
        <v>-3.4188034188034191E-2</v>
      </c>
      <c r="G42" s="5">
        <v>3.0256893018888426E-2</v>
      </c>
      <c r="I42" s="20" t="s">
        <v>9</v>
      </c>
      <c r="J42" s="21" t="s">
        <v>94</v>
      </c>
      <c r="K42" s="10" t="s">
        <v>192</v>
      </c>
      <c r="L42" s="12">
        <v>0.15</v>
      </c>
      <c r="M42" s="12">
        <v>-8.6956521739130432E-2</v>
      </c>
      <c r="N42" s="12">
        <v>-9.5238095238095233E-2</v>
      </c>
      <c r="O42" s="12">
        <v>-0.36842105263157893</v>
      </c>
      <c r="P42" s="12"/>
      <c r="Q42" s="12"/>
      <c r="R42" s="20" t="s">
        <v>9</v>
      </c>
      <c r="S42" s="21" t="s">
        <v>94</v>
      </c>
      <c r="T42" s="10" t="s">
        <v>192</v>
      </c>
      <c r="U42" s="12">
        <v>0.4</v>
      </c>
      <c r="V42" s="12">
        <v>-0.5714285714285714</v>
      </c>
      <c r="W42" s="12">
        <v>0</v>
      </c>
    </row>
    <row r="43" spans="1:23" ht="60" x14ac:dyDescent="0.25">
      <c r="A43">
        <v>202320</v>
      </c>
      <c r="B43" t="s">
        <v>6</v>
      </c>
      <c r="C43" t="s">
        <v>29</v>
      </c>
      <c r="D43">
        <v>58</v>
      </c>
      <c r="E43">
        <v>164073.06</v>
      </c>
      <c r="F43" s="5">
        <v>5.4545454545454543E-2</v>
      </c>
      <c r="G43" s="5">
        <v>0.13481537858843134</v>
      </c>
      <c r="I43" s="20" t="s">
        <v>9</v>
      </c>
      <c r="J43" s="21" t="s">
        <v>94</v>
      </c>
      <c r="K43" s="10" t="s">
        <v>72</v>
      </c>
      <c r="L43" s="12">
        <v>0.21921085233773427</v>
      </c>
      <c r="M43" s="12">
        <v>-7.9777968643009331E-2</v>
      </c>
      <c r="N43" s="12">
        <v>-0.12465016306335842</v>
      </c>
      <c r="O43" s="12">
        <v>-0.36829664763143599</v>
      </c>
      <c r="P43" s="12"/>
      <c r="Q43" s="12"/>
      <c r="R43" s="20" t="s">
        <v>9</v>
      </c>
      <c r="S43" s="21" t="s">
        <v>94</v>
      </c>
      <c r="T43" s="10" t="s">
        <v>72</v>
      </c>
      <c r="U43" s="12">
        <v>0.43634008218000869</v>
      </c>
      <c r="V43" s="12">
        <v>-0.56276453741014643</v>
      </c>
      <c r="W43" s="12">
        <v>-0.106731188772225</v>
      </c>
    </row>
    <row r="44" spans="1:23" ht="15" customHeight="1" x14ac:dyDescent="0.25">
      <c r="A44">
        <v>202410</v>
      </c>
      <c r="B44" t="s">
        <v>6</v>
      </c>
      <c r="C44" t="s">
        <v>29</v>
      </c>
      <c r="D44">
        <v>105</v>
      </c>
      <c r="E44">
        <v>284483.82</v>
      </c>
      <c r="F44" s="5">
        <v>-7.0796460176991149E-2</v>
      </c>
      <c r="G44" s="5">
        <v>-0.11057203256823379</v>
      </c>
      <c r="I44" s="20" t="s">
        <v>9</v>
      </c>
      <c r="J44" s="21" t="s">
        <v>95</v>
      </c>
      <c r="K44" s="10" t="s">
        <v>192</v>
      </c>
      <c r="L44" s="12">
        <v>-0.33333333333333331</v>
      </c>
      <c r="M44" s="12">
        <v>0.5</v>
      </c>
      <c r="N44" s="12">
        <v>0.3888888888888889</v>
      </c>
      <c r="O44" s="12">
        <v>-0.08</v>
      </c>
      <c r="P44" s="12"/>
      <c r="Q44" s="12"/>
      <c r="R44" s="20" t="s">
        <v>9</v>
      </c>
      <c r="S44" s="21" t="s">
        <v>95</v>
      </c>
      <c r="T44" s="10" t="s">
        <v>192</v>
      </c>
      <c r="U44" s="12">
        <v>-0.36363636363636365</v>
      </c>
      <c r="V44" s="12">
        <v>0.8571428571428571</v>
      </c>
      <c r="W44" s="12">
        <v>-0.30769230769230771</v>
      </c>
    </row>
    <row r="45" spans="1:23" ht="60" x14ac:dyDescent="0.25">
      <c r="A45">
        <v>202420</v>
      </c>
      <c r="B45" t="s">
        <v>6</v>
      </c>
      <c r="C45" t="s">
        <v>29</v>
      </c>
      <c r="D45">
        <v>38</v>
      </c>
      <c r="E45">
        <v>99396.99</v>
      </c>
      <c r="F45" s="5">
        <v>-0.34482758620689657</v>
      </c>
      <c r="G45" s="5">
        <v>-0.39419067335003072</v>
      </c>
      <c r="I45" s="20" t="s">
        <v>9</v>
      </c>
      <c r="J45" s="21" t="s">
        <v>95</v>
      </c>
      <c r="K45" s="10" t="s">
        <v>72</v>
      </c>
      <c r="L45" s="12">
        <v>-0.43438389776852243</v>
      </c>
      <c r="M45" s="12">
        <v>0.61635496024431835</v>
      </c>
      <c r="N45" s="12">
        <v>0.36235693259329671</v>
      </c>
      <c r="O45" s="12">
        <v>-9.0791387340735427E-2</v>
      </c>
      <c r="P45" s="12"/>
      <c r="Q45" s="12"/>
      <c r="R45" s="20" t="s">
        <v>9</v>
      </c>
      <c r="S45" s="21" t="s">
        <v>95</v>
      </c>
      <c r="T45" s="10" t="s">
        <v>72</v>
      </c>
      <c r="U45" s="12">
        <v>-0.45197454335293935</v>
      </c>
      <c r="V45" s="12">
        <v>1.12782004824171</v>
      </c>
      <c r="W45" s="12">
        <v>-0.4017181281510418</v>
      </c>
    </row>
    <row r="46" spans="1:23" ht="15" customHeight="1" x14ac:dyDescent="0.25">
      <c r="A46" s="2">
        <v>202510</v>
      </c>
      <c r="B46" s="2" t="s">
        <v>6</v>
      </c>
      <c r="C46" s="2" t="s">
        <v>29</v>
      </c>
      <c r="D46" s="2">
        <v>119</v>
      </c>
      <c r="E46" s="2">
        <v>311939.09000000003</v>
      </c>
      <c r="F46" s="6">
        <v>0.13333333333333333</v>
      </c>
      <c r="G46" s="6">
        <v>9.6509073872812934E-2</v>
      </c>
      <c r="I46" s="23" t="s">
        <v>10</v>
      </c>
      <c r="J46" s="20" t="s">
        <v>96</v>
      </c>
      <c r="K46" s="16" t="s">
        <v>192</v>
      </c>
      <c r="L46" s="17">
        <v>-0.12582781456953643</v>
      </c>
      <c r="M46" s="17">
        <v>0.10606060606060606</v>
      </c>
      <c r="N46" s="17">
        <v>0.13013698630136986</v>
      </c>
      <c r="O46" s="17">
        <v>-0.24242424242424243</v>
      </c>
      <c r="P46" s="12"/>
      <c r="Q46" s="12"/>
      <c r="R46" s="23" t="s">
        <v>10</v>
      </c>
      <c r="S46" s="20" t="s">
        <v>96</v>
      </c>
      <c r="T46" s="16" t="s">
        <v>192</v>
      </c>
      <c r="U46" s="17">
        <v>0.13750000000000001</v>
      </c>
      <c r="V46" s="17">
        <v>3.2967032967032968E-2</v>
      </c>
      <c r="W46" s="17">
        <v>-2.1276595744680851E-2</v>
      </c>
    </row>
    <row r="47" spans="1:23" x14ac:dyDescent="0.25">
      <c r="A47">
        <v>202110</v>
      </c>
      <c r="B47" t="s">
        <v>6</v>
      </c>
      <c r="C47" t="s">
        <v>30</v>
      </c>
      <c r="D47">
        <v>16</v>
      </c>
      <c r="E47">
        <v>44146.45</v>
      </c>
      <c r="F47" s="5"/>
      <c r="G47" s="5"/>
      <c r="I47" s="23" t="s">
        <v>10</v>
      </c>
      <c r="J47" s="20" t="s">
        <v>96</v>
      </c>
      <c r="K47" s="14" t="s">
        <v>72</v>
      </c>
      <c r="L47" s="13">
        <v>-0.11835804569404404</v>
      </c>
      <c r="M47" s="13">
        <v>0.1399393108547311</v>
      </c>
      <c r="N47" s="13">
        <v>-9.6679754205926081E-3</v>
      </c>
      <c r="O47" s="13">
        <v>-0.19575462550877504</v>
      </c>
      <c r="P47" s="12"/>
      <c r="Q47" s="12"/>
      <c r="R47" s="23" t="s">
        <v>10</v>
      </c>
      <c r="S47" s="20" t="s">
        <v>96</v>
      </c>
      <c r="T47" s="14" t="s">
        <v>72</v>
      </c>
      <c r="U47" s="13">
        <v>2.2962989332926707E-2</v>
      </c>
      <c r="V47" s="13">
        <v>-1.524793876042151E-2</v>
      </c>
      <c r="W47" s="13">
        <v>-9.7442600620816999E-2</v>
      </c>
    </row>
    <row r="48" spans="1:23" ht="15" customHeight="1" x14ac:dyDescent="0.25">
      <c r="A48">
        <v>202120</v>
      </c>
      <c r="B48" t="s">
        <v>6</v>
      </c>
      <c r="C48" t="s">
        <v>30</v>
      </c>
      <c r="D48">
        <v>16</v>
      </c>
      <c r="E48">
        <v>46614.61</v>
      </c>
      <c r="F48" s="5"/>
      <c r="G48" s="5"/>
      <c r="I48" s="20" t="s">
        <v>11</v>
      </c>
      <c r="J48" s="20" t="s">
        <v>97</v>
      </c>
      <c r="K48" s="16" t="s">
        <v>192</v>
      </c>
      <c r="L48" s="17">
        <v>-0.5</v>
      </c>
      <c r="M48" s="17">
        <v>0.31578947368421051</v>
      </c>
      <c r="N48" s="17">
        <v>0.2</v>
      </c>
      <c r="O48" s="17">
        <v>-0.2</v>
      </c>
      <c r="P48" s="12"/>
      <c r="Q48" s="12"/>
      <c r="R48" s="20" t="s">
        <v>11</v>
      </c>
      <c r="S48" s="20" t="s">
        <v>97</v>
      </c>
      <c r="T48" s="16" t="s">
        <v>192</v>
      </c>
      <c r="U48" s="17">
        <v>0</v>
      </c>
      <c r="V48" s="17">
        <v>0.26666666666666666</v>
      </c>
      <c r="W48" s="17">
        <v>-0.21052631578947367</v>
      </c>
    </row>
    <row r="49" spans="1:23" ht="60" x14ac:dyDescent="0.25">
      <c r="A49">
        <v>202210</v>
      </c>
      <c r="B49" t="s">
        <v>6</v>
      </c>
      <c r="C49" t="s">
        <v>30</v>
      </c>
      <c r="D49">
        <v>38</v>
      </c>
      <c r="E49">
        <v>110886.67</v>
      </c>
      <c r="F49" s="5">
        <v>1.375</v>
      </c>
      <c r="G49" s="5">
        <v>1.5117913218390155</v>
      </c>
      <c r="I49" s="20" t="s">
        <v>11</v>
      </c>
      <c r="J49" s="20" t="s">
        <v>97</v>
      </c>
      <c r="K49" s="10" t="s">
        <v>72</v>
      </c>
      <c r="L49" s="12">
        <v>-0.53132005165552587</v>
      </c>
      <c r="M49" s="12">
        <v>0.50061904238146149</v>
      </c>
      <c r="N49" s="12">
        <v>0.10197809448441436</v>
      </c>
      <c r="O49" s="12">
        <v>-0.21756244390828755</v>
      </c>
      <c r="P49" s="12"/>
      <c r="Q49" s="12"/>
      <c r="R49" s="20" t="s">
        <v>11</v>
      </c>
      <c r="S49" s="20" t="s">
        <v>97</v>
      </c>
      <c r="T49" s="10" t="s">
        <v>72</v>
      </c>
      <c r="U49" s="12">
        <v>-8.2007807148558862E-2</v>
      </c>
      <c r="V49" s="12">
        <v>0.35808814595453897</v>
      </c>
      <c r="W49" s="12">
        <v>-0.23843482646981384</v>
      </c>
    </row>
    <row r="50" spans="1:23" ht="15" customHeight="1" x14ac:dyDescent="0.25">
      <c r="A50">
        <v>202220</v>
      </c>
      <c r="B50" t="s">
        <v>6</v>
      </c>
      <c r="C50" t="s">
        <v>30</v>
      </c>
      <c r="D50">
        <v>21</v>
      </c>
      <c r="E50">
        <v>61569.07</v>
      </c>
      <c r="F50" s="5">
        <v>0.3125</v>
      </c>
      <c r="G50" s="5">
        <v>0.32081057848601541</v>
      </c>
      <c r="I50" s="20" t="s">
        <v>11</v>
      </c>
      <c r="J50" s="21" t="s">
        <v>98</v>
      </c>
      <c r="K50" s="10" t="s">
        <v>192</v>
      </c>
      <c r="L50" s="12">
        <v>-0.68</v>
      </c>
      <c r="M50" s="12">
        <v>0.125</v>
      </c>
      <c r="N50" s="12">
        <v>0.77777777777777779</v>
      </c>
      <c r="O50" s="12">
        <v>-0.3125</v>
      </c>
      <c r="P50" s="12"/>
      <c r="Q50" s="12"/>
      <c r="R50" s="20" t="s">
        <v>11</v>
      </c>
      <c r="S50" s="21" t="s">
        <v>98</v>
      </c>
      <c r="T50" s="10" t="s">
        <v>192</v>
      </c>
      <c r="U50" s="12">
        <v>-0.25</v>
      </c>
      <c r="V50" s="12">
        <v>0.16666666666666666</v>
      </c>
      <c r="W50" s="12">
        <v>0.2857142857142857</v>
      </c>
    </row>
    <row r="51" spans="1:23" ht="60" x14ac:dyDescent="0.25">
      <c r="A51">
        <v>202310</v>
      </c>
      <c r="B51" t="s">
        <v>6</v>
      </c>
      <c r="C51" t="s">
        <v>30</v>
      </c>
      <c r="D51">
        <v>26</v>
      </c>
      <c r="E51">
        <v>77728.81</v>
      </c>
      <c r="F51" s="5">
        <v>-0.31578947368421051</v>
      </c>
      <c r="G51" s="5">
        <v>-0.29902476104657127</v>
      </c>
      <c r="I51" s="20" t="s">
        <v>11</v>
      </c>
      <c r="J51" s="21" t="s">
        <v>98</v>
      </c>
      <c r="K51" s="10" t="s">
        <v>72</v>
      </c>
      <c r="L51" s="12">
        <v>-0.69560201712827763</v>
      </c>
      <c r="M51" s="12">
        <v>0.24961533811066541</v>
      </c>
      <c r="N51" s="12">
        <v>0.84629095152469025</v>
      </c>
      <c r="O51" s="12">
        <v>-0.40257345829573332</v>
      </c>
      <c r="P51" s="12"/>
      <c r="Q51" s="12"/>
      <c r="R51" s="20" t="s">
        <v>11</v>
      </c>
      <c r="S51" s="21" t="s">
        <v>98</v>
      </c>
      <c r="T51" s="10" t="s">
        <v>72</v>
      </c>
      <c r="U51" s="12">
        <v>-0.17120364252907416</v>
      </c>
      <c r="V51" s="12">
        <v>6.5310400643365185E-2</v>
      </c>
      <c r="W51" s="12">
        <v>0.32944501977113688</v>
      </c>
    </row>
    <row r="52" spans="1:23" ht="15" customHeight="1" x14ac:dyDescent="0.25">
      <c r="A52">
        <v>202320</v>
      </c>
      <c r="B52" t="s">
        <v>6</v>
      </c>
      <c r="C52" t="s">
        <v>30</v>
      </c>
      <c r="D52">
        <v>14</v>
      </c>
      <c r="E52">
        <v>37441.800000000003</v>
      </c>
      <c r="F52" s="5">
        <v>-0.33333333333333331</v>
      </c>
      <c r="G52" s="5">
        <v>-0.39187322465647112</v>
      </c>
      <c r="I52" s="20" t="s">
        <v>11</v>
      </c>
      <c r="J52" s="21" t="s">
        <v>99</v>
      </c>
      <c r="K52" s="10" t="s">
        <v>192</v>
      </c>
      <c r="L52" s="12">
        <v>-0.20370370370370369</v>
      </c>
      <c r="M52" s="12">
        <v>0.30232558139534882</v>
      </c>
      <c r="N52" s="12">
        <v>0.14285714285714285</v>
      </c>
      <c r="O52" s="12">
        <v>-0.140625</v>
      </c>
      <c r="P52" s="12"/>
      <c r="Q52" s="12"/>
      <c r="R52" s="20" t="s">
        <v>11</v>
      </c>
      <c r="S52" s="21" t="s">
        <v>99</v>
      </c>
      <c r="T52" s="10" t="s">
        <v>192</v>
      </c>
      <c r="U52" s="12">
        <v>0.73333333333333328</v>
      </c>
      <c r="V52" s="12">
        <v>-3.8461538461538464E-2</v>
      </c>
      <c r="W52" s="12">
        <v>-0.24</v>
      </c>
    </row>
    <row r="53" spans="1:23" ht="60" x14ac:dyDescent="0.25">
      <c r="A53">
        <v>202410</v>
      </c>
      <c r="B53" t="s">
        <v>6</v>
      </c>
      <c r="C53" t="s">
        <v>30</v>
      </c>
      <c r="D53">
        <v>40</v>
      </c>
      <c r="E53">
        <v>110173.7</v>
      </c>
      <c r="F53" s="5">
        <v>0.53846153846153844</v>
      </c>
      <c r="G53" s="5">
        <v>0.41741138195734634</v>
      </c>
      <c r="I53" s="20" t="s">
        <v>11</v>
      </c>
      <c r="J53" s="21" t="s">
        <v>99</v>
      </c>
      <c r="K53" s="10" t="s">
        <v>72</v>
      </c>
      <c r="L53" s="12">
        <v>-0.28347632721615007</v>
      </c>
      <c r="M53" s="12">
        <v>0.32734761982089405</v>
      </c>
      <c r="N53" s="12">
        <v>0.24406078213369367</v>
      </c>
      <c r="O53" s="12">
        <v>-0.16347133367639879</v>
      </c>
      <c r="P53" s="12"/>
      <c r="Q53" s="12"/>
      <c r="R53" s="20" t="s">
        <v>11</v>
      </c>
      <c r="S53" s="21" t="s">
        <v>99</v>
      </c>
      <c r="T53" s="10" t="s">
        <v>72</v>
      </c>
      <c r="U53" s="12">
        <v>0.63585210982964635</v>
      </c>
      <c r="V53" s="12">
        <v>-1.6738193624034545E-2</v>
      </c>
      <c r="W53" s="12">
        <v>-0.18878810128205778</v>
      </c>
    </row>
    <row r="54" spans="1:23" ht="15" customHeight="1" x14ac:dyDescent="0.25">
      <c r="A54">
        <v>202420</v>
      </c>
      <c r="B54" t="s">
        <v>6</v>
      </c>
      <c r="C54" t="s">
        <v>30</v>
      </c>
      <c r="D54">
        <v>16</v>
      </c>
      <c r="E54">
        <v>45111.5</v>
      </c>
      <c r="F54" s="5">
        <v>0.14285714285714285</v>
      </c>
      <c r="G54" s="5">
        <v>0.20484325005742235</v>
      </c>
      <c r="I54" s="20" t="s">
        <v>11</v>
      </c>
      <c r="J54" s="21" t="s">
        <v>100</v>
      </c>
      <c r="K54" s="10" t="s">
        <v>192</v>
      </c>
      <c r="L54" s="12">
        <v>-0.25</v>
      </c>
      <c r="M54" s="12">
        <v>1.5</v>
      </c>
      <c r="N54" s="12">
        <v>0.6333333333333333</v>
      </c>
      <c r="O54" s="12">
        <v>0.10204081632653061</v>
      </c>
      <c r="P54" s="12"/>
      <c r="Q54" s="12"/>
      <c r="R54" s="20" t="s">
        <v>11</v>
      </c>
      <c r="S54" s="21" t="s">
        <v>100</v>
      </c>
      <c r="T54" s="10" t="s">
        <v>192</v>
      </c>
      <c r="U54" s="12">
        <v>0.83333333333333337</v>
      </c>
      <c r="V54" s="12">
        <v>1.3636363636363635</v>
      </c>
      <c r="W54" s="12">
        <v>0.61538461538461542</v>
      </c>
    </row>
    <row r="55" spans="1:23" ht="60" x14ac:dyDescent="0.25">
      <c r="A55" s="2">
        <v>202510</v>
      </c>
      <c r="B55" s="2" t="s">
        <v>6</v>
      </c>
      <c r="C55" s="2" t="s">
        <v>30</v>
      </c>
      <c r="D55" s="2">
        <v>27</v>
      </c>
      <c r="E55" s="2">
        <v>76339.25</v>
      </c>
      <c r="F55" s="6">
        <v>-0.32500000000000001</v>
      </c>
      <c r="G55" s="6">
        <v>-0.30710096874299397</v>
      </c>
      <c r="I55" s="20" t="s">
        <v>11</v>
      </c>
      <c r="J55" s="21" t="s">
        <v>100</v>
      </c>
      <c r="K55" s="10" t="s">
        <v>72</v>
      </c>
      <c r="L55" s="12">
        <v>-0.32463795340330515</v>
      </c>
      <c r="M55" s="12">
        <v>1.6253797743055556</v>
      </c>
      <c r="N55" s="12">
        <v>0.56168764358172762</v>
      </c>
      <c r="O55" s="12">
        <v>1.8882095905470051E-2</v>
      </c>
      <c r="P55" s="12"/>
      <c r="Q55" s="12"/>
      <c r="R55" s="20" t="s">
        <v>11</v>
      </c>
      <c r="S55" s="21" t="s">
        <v>100</v>
      </c>
      <c r="T55" s="10" t="s">
        <v>72</v>
      </c>
      <c r="U55" s="12">
        <v>0.7835296243367994</v>
      </c>
      <c r="V55" s="12">
        <v>1.3672313834563612</v>
      </c>
      <c r="W55" s="12">
        <v>0.57615603922923453</v>
      </c>
    </row>
    <row r="56" spans="1:23" ht="15" customHeight="1" x14ac:dyDescent="0.25">
      <c r="A56">
        <v>202110</v>
      </c>
      <c r="B56" t="s">
        <v>6</v>
      </c>
      <c r="C56" t="s">
        <v>31</v>
      </c>
      <c r="D56">
        <v>6</v>
      </c>
      <c r="E56">
        <v>15087.34</v>
      </c>
      <c r="F56" s="5"/>
      <c r="G56" s="5"/>
      <c r="I56" s="20" t="s">
        <v>11</v>
      </c>
      <c r="J56" s="21" t="s">
        <v>101</v>
      </c>
      <c r="K56" s="10" t="s">
        <v>192</v>
      </c>
      <c r="L56" s="12">
        <v>0.73684210526315785</v>
      </c>
      <c r="M56" s="12">
        <v>0.33333333333333331</v>
      </c>
      <c r="N56" s="12">
        <v>-2.2727272727272728E-2</v>
      </c>
      <c r="O56" s="12">
        <v>0</v>
      </c>
      <c r="P56" s="12"/>
      <c r="Q56" s="12"/>
      <c r="R56" s="20" t="s">
        <v>11</v>
      </c>
      <c r="S56" s="21" t="s">
        <v>101</v>
      </c>
      <c r="T56" s="10" t="s">
        <v>192</v>
      </c>
      <c r="U56" s="12">
        <v>0.8571428571428571</v>
      </c>
      <c r="V56" s="12">
        <v>0.61538461538461542</v>
      </c>
      <c r="W56" s="12">
        <v>9.5238095238095233E-2</v>
      </c>
    </row>
    <row r="57" spans="1:23" ht="60" x14ac:dyDescent="0.25">
      <c r="A57">
        <v>202120</v>
      </c>
      <c r="B57" t="s">
        <v>6</v>
      </c>
      <c r="C57" t="s">
        <v>31</v>
      </c>
      <c r="D57">
        <v>8</v>
      </c>
      <c r="E57">
        <v>17496.669999999998</v>
      </c>
      <c r="F57" s="5"/>
      <c r="G57" s="5"/>
      <c r="I57" s="20" t="s">
        <v>11</v>
      </c>
      <c r="J57" s="21" t="s">
        <v>101</v>
      </c>
      <c r="K57" s="10" t="s">
        <v>72</v>
      </c>
      <c r="L57" s="12">
        <v>0.66622009996902054</v>
      </c>
      <c r="M57" s="12">
        <v>0.34271903940044374</v>
      </c>
      <c r="N57" s="12">
        <v>4.5256374841057146E-3</v>
      </c>
      <c r="O57" s="12">
        <v>6.3411074268764573E-3</v>
      </c>
      <c r="P57" s="12"/>
      <c r="Q57" s="12"/>
      <c r="R57" s="20" t="s">
        <v>11</v>
      </c>
      <c r="S57" s="21" t="s">
        <v>101</v>
      </c>
      <c r="T57" s="10" t="s">
        <v>72</v>
      </c>
      <c r="U57" s="12">
        <v>0.95272620478346781</v>
      </c>
      <c r="V57" s="12">
        <v>0.7459833550389543</v>
      </c>
      <c r="W57" s="12">
        <v>-4.0863702784325488E-2</v>
      </c>
    </row>
    <row r="58" spans="1:23" ht="15" customHeight="1" x14ac:dyDescent="0.25">
      <c r="A58">
        <v>202210</v>
      </c>
      <c r="B58" t="s">
        <v>6</v>
      </c>
      <c r="C58" t="s">
        <v>31</v>
      </c>
      <c r="D58">
        <v>10</v>
      </c>
      <c r="E58">
        <v>28415.99</v>
      </c>
      <c r="F58" s="5">
        <v>0.66666666666666663</v>
      </c>
      <c r="G58" s="5">
        <v>0.88343273234380626</v>
      </c>
      <c r="I58" s="20" t="s">
        <v>11</v>
      </c>
      <c r="J58" s="21" t="s">
        <v>102</v>
      </c>
      <c r="K58" s="10" t="s">
        <v>192</v>
      </c>
      <c r="L58" s="12">
        <v>-0.51428571428571423</v>
      </c>
      <c r="M58" s="12">
        <v>0.11764705882352941</v>
      </c>
      <c r="N58" s="12">
        <v>0.15789473684210525</v>
      </c>
      <c r="O58" s="12">
        <v>-4.5454545454545456E-2</v>
      </c>
      <c r="P58" s="12"/>
      <c r="Q58" s="12"/>
      <c r="R58" s="20" t="s">
        <v>11</v>
      </c>
      <c r="S58" s="21" t="s">
        <v>102</v>
      </c>
      <c r="T58" s="10" t="s">
        <v>192</v>
      </c>
      <c r="U58" s="12">
        <v>0.27777777777777779</v>
      </c>
      <c r="V58" s="12">
        <v>-0.17391304347826086</v>
      </c>
      <c r="W58" s="12">
        <v>-0.10526315789473684</v>
      </c>
    </row>
    <row r="59" spans="1:23" ht="60" x14ac:dyDescent="0.25">
      <c r="A59">
        <v>202220</v>
      </c>
      <c r="B59" t="s">
        <v>6</v>
      </c>
      <c r="C59" t="s">
        <v>31</v>
      </c>
      <c r="D59">
        <v>11</v>
      </c>
      <c r="E59">
        <v>29747.5</v>
      </c>
      <c r="F59" s="5">
        <v>0.375</v>
      </c>
      <c r="G59" s="5">
        <v>0.70018066294900705</v>
      </c>
      <c r="I59" s="20" t="s">
        <v>11</v>
      </c>
      <c r="J59" s="21" t="s">
        <v>102</v>
      </c>
      <c r="K59" s="10" t="s">
        <v>72</v>
      </c>
      <c r="L59" s="12">
        <v>-0.49864383408602753</v>
      </c>
      <c r="M59" s="12">
        <v>9.2491574380461586E-2</v>
      </c>
      <c r="N59" s="12">
        <v>0.12603234168210392</v>
      </c>
      <c r="O59" s="12">
        <v>-5.3409632460815551E-2</v>
      </c>
      <c r="P59" s="12"/>
      <c r="Q59" s="12"/>
      <c r="R59" s="20" t="s">
        <v>11</v>
      </c>
      <c r="S59" s="21" t="s">
        <v>102</v>
      </c>
      <c r="T59" s="10" t="s">
        <v>72</v>
      </c>
      <c r="U59" s="12">
        <v>0.32449018951673908</v>
      </c>
      <c r="V59" s="12">
        <v>-0.10728355946324251</v>
      </c>
      <c r="W59" s="12">
        <v>-0.17371818449390117</v>
      </c>
    </row>
    <row r="60" spans="1:23" ht="15" customHeight="1" x14ac:dyDescent="0.25">
      <c r="A60">
        <v>202310</v>
      </c>
      <c r="B60" t="s">
        <v>6</v>
      </c>
      <c r="C60" t="s">
        <v>31</v>
      </c>
      <c r="D60">
        <v>10</v>
      </c>
      <c r="E60">
        <v>27448</v>
      </c>
      <c r="F60" s="5">
        <v>0</v>
      </c>
      <c r="G60" s="5">
        <v>-3.4064975388856819E-2</v>
      </c>
      <c r="I60" s="20" t="s">
        <v>11</v>
      </c>
      <c r="J60" s="21" t="s">
        <v>103</v>
      </c>
      <c r="K60" s="10" t="s">
        <v>192</v>
      </c>
      <c r="L60" s="12">
        <v>-0.21428571428571427</v>
      </c>
      <c r="M60" s="12">
        <v>-0.18181818181818182</v>
      </c>
      <c r="N60" s="12">
        <v>0.1111111111111111</v>
      </c>
      <c r="O60" s="12">
        <v>-0.4</v>
      </c>
      <c r="P60" s="12"/>
      <c r="Q60" s="12"/>
      <c r="R60" s="20" t="s">
        <v>11</v>
      </c>
      <c r="S60" s="21" t="s">
        <v>103</v>
      </c>
      <c r="T60" s="10" t="s">
        <v>192</v>
      </c>
      <c r="U60" s="12">
        <v>-0.33333333333333331</v>
      </c>
      <c r="V60" s="12">
        <v>-0.5</v>
      </c>
      <c r="W60" s="12">
        <v>0.5</v>
      </c>
    </row>
    <row r="61" spans="1:23" ht="75" x14ac:dyDescent="0.25">
      <c r="A61">
        <v>202320</v>
      </c>
      <c r="B61" t="s">
        <v>6</v>
      </c>
      <c r="C61" t="s">
        <v>31</v>
      </c>
      <c r="D61">
        <v>7</v>
      </c>
      <c r="E61">
        <v>19412.5</v>
      </c>
      <c r="F61" s="5">
        <v>-0.36363636363636365</v>
      </c>
      <c r="G61" s="5">
        <v>-0.34742415329019244</v>
      </c>
      <c r="I61" s="20" t="s">
        <v>11</v>
      </c>
      <c r="J61" s="21" t="s">
        <v>103</v>
      </c>
      <c r="K61" s="10" t="s">
        <v>72</v>
      </c>
      <c r="L61" s="12">
        <v>-8.3379649027784858E-2</v>
      </c>
      <c r="M61" s="12">
        <v>-0.20279777992496245</v>
      </c>
      <c r="N61" s="12">
        <v>1.9368846193663011E-2</v>
      </c>
      <c r="O61" s="12">
        <v>-0.40645918514509849</v>
      </c>
      <c r="P61" s="12"/>
      <c r="Q61" s="12"/>
      <c r="R61" s="20" t="s">
        <v>11</v>
      </c>
      <c r="S61" s="21" t="s">
        <v>103</v>
      </c>
      <c r="T61" s="10" t="s">
        <v>72</v>
      </c>
      <c r="U61" s="12">
        <v>-0.53420849590841613</v>
      </c>
      <c r="V61" s="12">
        <v>-0.37332288499227428</v>
      </c>
      <c r="W61" s="12">
        <v>0.7241867542789443</v>
      </c>
    </row>
    <row r="62" spans="1:23" ht="15" customHeight="1" x14ac:dyDescent="0.25">
      <c r="A62">
        <v>202410</v>
      </c>
      <c r="B62" t="s">
        <v>6</v>
      </c>
      <c r="C62" t="s">
        <v>31</v>
      </c>
      <c r="D62">
        <v>1</v>
      </c>
      <c r="E62">
        <v>2379</v>
      </c>
      <c r="F62" s="5">
        <v>-0.9</v>
      </c>
      <c r="G62" s="5">
        <v>-0.91332701836199359</v>
      </c>
      <c r="I62" s="20" t="s">
        <v>11</v>
      </c>
      <c r="J62" s="21" t="s">
        <v>104</v>
      </c>
      <c r="K62" s="10" t="s">
        <v>192</v>
      </c>
      <c r="L62" s="12">
        <v>0.7592592592592593</v>
      </c>
      <c r="M62" s="12">
        <v>0.28421052631578947</v>
      </c>
      <c r="N62" s="12">
        <v>0.10655737704918032</v>
      </c>
      <c r="O62" s="12">
        <v>0.15555555555555556</v>
      </c>
      <c r="P62" s="12"/>
      <c r="Q62" s="12"/>
      <c r="R62" s="20" t="s">
        <v>11</v>
      </c>
      <c r="S62" s="21" t="s">
        <v>104</v>
      </c>
      <c r="T62" s="10" t="s">
        <v>192</v>
      </c>
      <c r="U62" s="12">
        <v>1.088235294117647</v>
      </c>
      <c r="V62" s="12">
        <v>0.18309859154929578</v>
      </c>
      <c r="W62" s="12">
        <v>-0.20238095238095238</v>
      </c>
    </row>
    <row r="63" spans="1:23" ht="60" x14ac:dyDescent="0.25">
      <c r="A63">
        <v>202420</v>
      </c>
      <c r="B63" t="s">
        <v>6</v>
      </c>
      <c r="C63" t="s">
        <v>31</v>
      </c>
      <c r="D63">
        <v>1</v>
      </c>
      <c r="E63">
        <v>2649.37</v>
      </c>
      <c r="F63" s="5">
        <v>-0.8571428571428571</v>
      </c>
      <c r="G63" s="5">
        <v>-0.86352247263361237</v>
      </c>
      <c r="I63" s="20" t="s">
        <v>11</v>
      </c>
      <c r="J63" s="21" t="s">
        <v>104</v>
      </c>
      <c r="K63" s="10" t="s">
        <v>72</v>
      </c>
      <c r="L63" s="12">
        <v>0.82875426363418481</v>
      </c>
      <c r="M63" s="12">
        <v>0.26282965262352354</v>
      </c>
      <c r="N63" s="12">
        <v>0.10251511397195559</v>
      </c>
      <c r="O63" s="12">
        <v>0.11564074156470988</v>
      </c>
      <c r="P63" s="12"/>
      <c r="Q63" s="12"/>
      <c r="R63" s="20" t="s">
        <v>11</v>
      </c>
      <c r="S63" s="21" t="s">
        <v>104</v>
      </c>
      <c r="T63" s="10" t="s">
        <v>72</v>
      </c>
      <c r="U63" s="12">
        <v>1.0805515239477506</v>
      </c>
      <c r="V63" s="12">
        <v>0.25574706155529359</v>
      </c>
      <c r="W63" s="12">
        <v>-0.24593579609317451</v>
      </c>
    </row>
    <row r="64" spans="1:23" ht="15" customHeight="1" x14ac:dyDescent="0.25">
      <c r="A64" s="2">
        <v>202510</v>
      </c>
      <c r="B64" s="2" t="s">
        <v>6</v>
      </c>
      <c r="C64" s="2" t="s">
        <v>31</v>
      </c>
      <c r="D64" s="2">
        <v>9</v>
      </c>
      <c r="E64" s="2">
        <v>24980.41</v>
      </c>
      <c r="F64" s="6">
        <v>8</v>
      </c>
      <c r="G64" s="6">
        <v>9.5003825136612026</v>
      </c>
      <c r="I64" s="20" t="s">
        <v>11</v>
      </c>
      <c r="J64" s="21" t="s">
        <v>105</v>
      </c>
      <c r="K64" s="10" t="s">
        <v>192</v>
      </c>
      <c r="L64" s="12">
        <v>0.2857142857142857</v>
      </c>
      <c r="M64" s="12">
        <v>-0.3888888888888889</v>
      </c>
      <c r="N64" s="12">
        <v>9.0909090909090912E-2</v>
      </c>
      <c r="O64" s="12">
        <v>-0.16666666666666666</v>
      </c>
      <c r="P64" s="12"/>
      <c r="Q64" s="12"/>
      <c r="R64" s="20" t="s">
        <v>11</v>
      </c>
      <c r="S64" s="21" t="s">
        <v>105</v>
      </c>
      <c r="T64" s="10" t="s">
        <v>192</v>
      </c>
      <c r="U64" s="12">
        <v>0.4</v>
      </c>
      <c r="V64" s="12">
        <v>0</v>
      </c>
      <c r="W64" s="12">
        <v>-0.2857142857142857</v>
      </c>
    </row>
    <row r="65" spans="1:23" ht="60" x14ac:dyDescent="0.25">
      <c r="A65">
        <v>202110</v>
      </c>
      <c r="B65" t="s">
        <v>7</v>
      </c>
      <c r="C65" t="s">
        <v>32</v>
      </c>
      <c r="D65">
        <v>64</v>
      </c>
      <c r="E65">
        <v>166432.84</v>
      </c>
      <c r="F65" s="5"/>
      <c r="G65" s="5"/>
      <c r="I65" s="20" t="s">
        <v>11</v>
      </c>
      <c r="J65" s="21" t="s">
        <v>105</v>
      </c>
      <c r="K65" s="14" t="s">
        <v>72</v>
      </c>
      <c r="L65" s="13">
        <v>0.14829543621492974</v>
      </c>
      <c r="M65" s="13">
        <v>-0.3375690799259643</v>
      </c>
      <c r="N65" s="13">
        <v>-9.7924868401704076E-4</v>
      </c>
      <c r="O65" s="13">
        <v>-9.8996270551255108E-2</v>
      </c>
      <c r="P65" s="12"/>
      <c r="Q65" s="12"/>
      <c r="R65" s="20" t="s">
        <v>11</v>
      </c>
      <c r="S65" s="21" t="s">
        <v>105</v>
      </c>
      <c r="T65" s="14" t="s">
        <v>72</v>
      </c>
      <c r="U65" s="13">
        <v>0.21281064004132869</v>
      </c>
      <c r="V65" s="13">
        <v>8.2079101426475037E-2</v>
      </c>
      <c r="W65" s="13">
        <v>-0.38486440984861314</v>
      </c>
    </row>
    <row r="66" spans="1:23" ht="15" customHeight="1" x14ac:dyDescent="0.25">
      <c r="A66">
        <v>202120</v>
      </c>
      <c r="B66" t="s">
        <v>7</v>
      </c>
      <c r="C66" t="s">
        <v>32</v>
      </c>
      <c r="D66">
        <v>30</v>
      </c>
      <c r="E66">
        <v>72210.070000000007</v>
      </c>
      <c r="F66" s="5"/>
      <c r="G66" s="5"/>
      <c r="I66" s="20" t="s">
        <v>12</v>
      </c>
      <c r="J66" s="20" t="s">
        <v>106</v>
      </c>
      <c r="K66" s="16" t="s">
        <v>192</v>
      </c>
      <c r="L66" s="17">
        <v>-0.1008174386920981</v>
      </c>
      <c r="M66" s="17">
        <v>0.26969696969696971</v>
      </c>
      <c r="N66" s="17">
        <v>-0.15990453460620524</v>
      </c>
      <c r="O66" s="17">
        <v>3.125E-2</v>
      </c>
      <c r="P66" s="12"/>
      <c r="Q66" s="12"/>
      <c r="R66" s="20" t="s">
        <v>12</v>
      </c>
      <c r="S66" s="20" t="s">
        <v>106</v>
      </c>
      <c r="T66" s="16" t="s">
        <v>192</v>
      </c>
      <c r="U66" s="17">
        <v>-8.4033613445378148E-3</v>
      </c>
      <c r="V66" s="17">
        <v>-0.23305084745762711</v>
      </c>
      <c r="W66" s="17">
        <v>-7.18232044198895E-2</v>
      </c>
    </row>
    <row r="67" spans="1:23" ht="30" x14ac:dyDescent="0.25">
      <c r="A67">
        <v>202210</v>
      </c>
      <c r="B67" t="s">
        <v>7</v>
      </c>
      <c r="C67" t="s">
        <v>32</v>
      </c>
      <c r="D67">
        <v>57</v>
      </c>
      <c r="E67">
        <v>142097.48000000001</v>
      </c>
      <c r="F67" s="5">
        <v>-0.109375</v>
      </c>
      <c r="G67" s="5">
        <v>-0.14621729701902572</v>
      </c>
      <c r="I67" s="20" t="s">
        <v>12</v>
      </c>
      <c r="J67" s="20" t="s">
        <v>106</v>
      </c>
      <c r="K67" s="14" t="s">
        <v>72</v>
      </c>
      <c r="L67" s="13">
        <v>-9.4266184774436351E-2</v>
      </c>
      <c r="M67" s="13">
        <v>0.27175188547411538</v>
      </c>
      <c r="N67" s="13">
        <v>-0.16155151687446623</v>
      </c>
      <c r="O67" s="13">
        <v>2.5420368431602501E-3</v>
      </c>
      <c r="P67" s="12"/>
      <c r="Q67" s="12"/>
      <c r="R67" s="20" t="s">
        <v>12</v>
      </c>
      <c r="S67" s="20" t="s">
        <v>106</v>
      </c>
      <c r="T67" s="14" t="s">
        <v>72</v>
      </c>
      <c r="U67" s="13">
        <v>-1.9060828843546771E-3</v>
      </c>
      <c r="V67" s="13">
        <v>-0.24653982011384176</v>
      </c>
      <c r="W67" s="13">
        <v>-8.1945524780259404E-2</v>
      </c>
    </row>
    <row r="68" spans="1:23" ht="15" customHeight="1" x14ac:dyDescent="0.25">
      <c r="A68">
        <v>202220</v>
      </c>
      <c r="B68" t="s">
        <v>7</v>
      </c>
      <c r="C68" t="s">
        <v>32</v>
      </c>
      <c r="D68">
        <v>42</v>
      </c>
      <c r="E68">
        <v>104077.94</v>
      </c>
      <c r="F68" s="5">
        <v>0.4</v>
      </c>
      <c r="G68" s="5">
        <v>0.44132168823544959</v>
      </c>
      <c r="I68" s="20" t="s">
        <v>13</v>
      </c>
      <c r="J68" s="20" t="s">
        <v>107</v>
      </c>
      <c r="K68" s="16" t="s">
        <v>192</v>
      </c>
      <c r="L68" s="17">
        <v>6.1946902654867256E-2</v>
      </c>
      <c r="M68" s="17">
        <v>-5.8333333333333334E-2</v>
      </c>
      <c r="N68" s="17">
        <v>-0.17699115044247787</v>
      </c>
      <c r="O68" s="17">
        <v>0.16129032258064516</v>
      </c>
      <c r="P68" s="12"/>
      <c r="Q68" s="12"/>
      <c r="R68" s="20" t="s">
        <v>13</v>
      </c>
      <c r="S68" s="20" t="s">
        <v>107</v>
      </c>
      <c r="T68" s="16" t="s">
        <v>192</v>
      </c>
      <c r="U68" s="17">
        <v>1.3333333333333334E-2</v>
      </c>
      <c r="V68" s="17">
        <v>-0.15789473684210525</v>
      </c>
      <c r="W68" s="17">
        <v>-0.15625</v>
      </c>
    </row>
    <row r="69" spans="1:23" ht="30" x14ac:dyDescent="0.25">
      <c r="A69">
        <v>202310</v>
      </c>
      <c r="B69" t="s">
        <v>7</v>
      </c>
      <c r="C69" t="s">
        <v>32</v>
      </c>
      <c r="D69">
        <v>65</v>
      </c>
      <c r="E69">
        <v>167534.43</v>
      </c>
      <c r="F69" s="5">
        <v>0.14035087719298245</v>
      </c>
      <c r="G69" s="5">
        <v>0.17901056373413504</v>
      </c>
      <c r="I69" s="20" t="s">
        <v>13</v>
      </c>
      <c r="J69" s="20" t="s">
        <v>107</v>
      </c>
      <c r="K69" s="14" t="s">
        <v>72</v>
      </c>
      <c r="L69" s="13">
        <v>9.3370115144722959E-2</v>
      </c>
      <c r="M69" s="13">
        <v>-9.3717445113113224E-2</v>
      </c>
      <c r="N69" s="13">
        <v>-0.15407940722835525</v>
      </c>
      <c r="O69" s="13">
        <v>9.5316165158220487E-2</v>
      </c>
      <c r="P69" s="12"/>
      <c r="Q69" s="12"/>
      <c r="R69" s="20" t="s">
        <v>13</v>
      </c>
      <c r="S69" s="20" t="s">
        <v>107</v>
      </c>
      <c r="T69" s="14" t="s">
        <v>72</v>
      </c>
      <c r="U69" s="13">
        <v>1.5106067517860386E-2</v>
      </c>
      <c r="V69" s="13">
        <v>-0.15829177294206978</v>
      </c>
      <c r="W69" s="13">
        <v>-0.17700946847351362</v>
      </c>
    </row>
    <row r="70" spans="1:23" ht="15" customHeight="1" x14ac:dyDescent="0.25">
      <c r="A70">
        <v>202320</v>
      </c>
      <c r="B70" t="s">
        <v>7</v>
      </c>
      <c r="C70" t="s">
        <v>32</v>
      </c>
      <c r="D70">
        <v>37</v>
      </c>
      <c r="E70">
        <v>92254.56</v>
      </c>
      <c r="F70" s="5">
        <v>-0.11904761904761904</v>
      </c>
      <c r="G70" s="5">
        <v>-0.11360121078491757</v>
      </c>
      <c r="I70" s="20" t="s">
        <v>14</v>
      </c>
      <c r="J70" s="20" t="s">
        <v>108</v>
      </c>
      <c r="K70" s="16" t="s">
        <v>192</v>
      </c>
      <c r="L70" s="17">
        <v>1.1499999999999999</v>
      </c>
      <c r="M70" s="17">
        <v>-1.1627906976744186E-2</v>
      </c>
      <c r="N70" s="17">
        <v>-0.2411764705882353</v>
      </c>
      <c r="O70" s="17">
        <v>-7.7519379844961239E-3</v>
      </c>
      <c r="P70" s="12"/>
      <c r="Q70" s="12"/>
      <c r="R70" s="20" t="s">
        <v>14</v>
      </c>
      <c r="S70" s="20" t="s">
        <v>108</v>
      </c>
      <c r="T70" s="16" t="s">
        <v>192</v>
      </c>
      <c r="U70" s="17">
        <v>0.34074074074074073</v>
      </c>
      <c r="V70" s="17">
        <v>-0.27071823204419887</v>
      </c>
      <c r="W70" s="17">
        <v>-0.18939393939393939</v>
      </c>
    </row>
    <row r="71" spans="1:23" ht="30" x14ac:dyDescent="0.25">
      <c r="A71">
        <v>202410</v>
      </c>
      <c r="B71" t="s">
        <v>7</v>
      </c>
      <c r="C71" t="s">
        <v>32</v>
      </c>
      <c r="D71">
        <v>49</v>
      </c>
      <c r="E71">
        <v>124108.42</v>
      </c>
      <c r="F71" s="5">
        <v>-0.24615384615384617</v>
      </c>
      <c r="G71" s="5">
        <v>-0.25920648072160452</v>
      </c>
      <c r="I71" s="20" t="s">
        <v>14</v>
      </c>
      <c r="J71" s="20" t="s">
        <v>108</v>
      </c>
      <c r="K71" s="10" t="s">
        <v>72</v>
      </c>
      <c r="L71" s="12">
        <v>0.95976057777396884</v>
      </c>
      <c r="M71" s="12">
        <v>3.8892414109014888E-2</v>
      </c>
      <c r="N71" s="12">
        <v>-0.27659847958892475</v>
      </c>
      <c r="O71" s="12">
        <v>-1.4330664317542752E-2</v>
      </c>
      <c r="P71" s="12"/>
      <c r="Q71" s="12"/>
      <c r="R71" s="20" t="s">
        <v>14</v>
      </c>
      <c r="S71" s="20" t="s">
        <v>108</v>
      </c>
      <c r="T71" s="10" t="s">
        <v>72</v>
      </c>
      <c r="U71" s="12">
        <v>0.22928281876473394</v>
      </c>
      <c r="V71" s="12">
        <v>-0.21720301036758824</v>
      </c>
      <c r="W71" s="12">
        <v>-0.250460662002568</v>
      </c>
    </row>
    <row r="72" spans="1:23" ht="15" customHeight="1" x14ac:dyDescent="0.25">
      <c r="A72">
        <v>202420</v>
      </c>
      <c r="B72" t="s">
        <v>7</v>
      </c>
      <c r="C72" t="s">
        <v>32</v>
      </c>
      <c r="D72">
        <v>24</v>
      </c>
      <c r="E72">
        <v>53203.19</v>
      </c>
      <c r="F72" s="5">
        <v>-0.35135135135135137</v>
      </c>
      <c r="G72" s="5">
        <v>-0.42330015990537484</v>
      </c>
      <c r="I72" s="20" t="s">
        <v>14</v>
      </c>
      <c r="J72" s="21" t="s">
        <v>109</v>
      </c>
      <c r="K72" s="10" t="s">
        <v>192</v>
      </c>
      <c r="L72" s="12">
        <v>0.13333333333333333</v>
      </c>
      <c r="M72" s="12">
        <v>0.68627450980392157</v>
      </c>
      <c r="N72" s="12">
        <v>-0.27906976744186046</v>
      </c>
      <c r="O72" s="12">
        <v>0.54838709677419351</v>
      </c>
      <c r="P72" s="12"/>
      <c r="Q72" s="12"/>
      <c r="R72" s="20" t="s">
        <v>14</v>
      </c>
      <c r="S72" s="21" t="s">
        <v>109</v>
      </c>
      <c r="T72" s="10" t="s">
        <v>192</v>
      </c>
      <c r="U72" s="12">
        <v>0.24528301886792453</v>
      </c>
      <c r="V72" s="12">
        <v>-0.19696969696969696</v>
      </c>
      <c r="W72" s="12">
        <v>0.30188679245283018</v>
      </c>
    </row>
    <row r="73" spans="1:23" ht="30" x14ac:dyDescent="0.25">
      <c r="A73" s="2">
        <v>202510</v>
      </c>
      <c r="B73" s="2" t="s">
        <v>7</v>
      </c>
      <c r="C73" s="2" t="s">
        <v>33</v>
      </c>
      <c r="D73" s="2">
        <v>69</v>
      </c>
      <c r="E73" s="2">
        <v>166233.38</v>
      </c>
      <c r="F73" s="6">
        <v>0.40816326530612246</v>
      </c>
      <c r="G73" s="6">
        <v>0.33942064527128785</v>
      </c>
      <c r="I73" s="20" t="s">
        <v>14</v>
      </c>
      <c r="J73" s="21" t="s">
        <v>109</v>
      </c>
      <c r="K73" s="10" t="s">
        <v>72</v>
      </c>
      <c r="L73" s="12">
        <v>5.8216200258168968E-2</v>
      </c>
      <c r="M73" s="12">
        <v>0.62207654268629931</v>
      </c>
      <c r="N73" s="12">
        <v>-0.3029924300684686</v>
      </c>
      <c r="O73" s="12">
        <v>0.49286184214874285</v>
      </c>
      <c r="P73" s="12"/>
      <c r="Q73" s="12"/>
      <c r="R73" s="20" t="s">
        <v>14</v>
      </c>
      <c r="S73" s="21" t="s">
        <v>109</v>
      </c>
      <c r="T73" s="10" t="s">
        <v>72</v>
      </c>
      <c r="U73" s="12">
        <v>0.16766033941504652</v>
      </c>
      <c r="V73" s="12">
        <v>-0.17644205959650944</v>
      </c>
      <c r="W73" s="12">
        <v>0.246009260360222</v>
      </c>
    </row>
    <row r="74" spans="1:23" ht="15" customHeight="1" x14ac:dyDescent="0.25">
      <c r="A74" s="3">
        <v>202510</v>
      </c>
      <c r="B74" s="3" t="s">
        <v>7</v>
      </c>
      <c r="C74" s="3" t="s">
        <v>34</v>
      </c>
      <c r="D74" s="3">
        <v>8</v>
      </c>
      <c r="E74" s="3">
        <v>20662.48</v>
      </c>
      <c r="F74" s="6"/>
      <c r="G74" s="6"/>
      <c r="I74" s="20" t="s">
        <v>14</v>
      </c>
      <c r="J74" s="21" t="s">
        <v>110</v>
      </c>
      <c r="K74" s="10" t="s">
        <v>192</v>
      </c>
      <c r="L74" s="12">
        <v>0.12643678160919541</v>
      </c>
      <c r="M74" s="12">
        <v>0</v>
      </c>
      <c r="N74" s="12">
        <v>-0.24489795918367346</v>
      </c>
      <c r="O74" s="12">
        <v>0.45945945945945948</v>
      </c>
      <c r="P74" s="12"/>
      <c r="Q74" s="12"/>
      <c r="R74" s="20" t="s">
        <v>14</v>
      </c>
      <c r="S74" s="21" t="s">
        <v>110</v>
      </c>
      <c r="T74" s="10" t="s">
        <v>192</v>
      </c>
      <c r="U74" s="12">
        <v>0.30434782608695654</v>
      </c>
      <c r="V74" s="12">
        <v>-0.1</v>
      </c>
      <c r="W74" s="12">
        <v>9.2592592592592587E-2</v>
      </c>
    </row>
    <row r="75" spans="1:23" ht="30" x14ac:dyDescent="0.25">
      <c r="A75">
        <v>202110</v>
      </c>
      <c r="B75" t="s">
        <v>7</v>
      </c>
      <c r="C75" t="s">
        <v>35</v>
      </c>
      <c r="D75">
        <v>12</v>
      </c>
      <c r="E75">
        <v>23133.97</v>
      </c>
      <c r="F75" s="5"/>
      <c r="G75" s="5"/>
      <c r="I75" s="20" t="s">
        <v>14</v>
      </c>
      <c r="J75" s="21" t="s">
        <v>110</v>
      </c>
      <c r="K75" s="10" t="s">
        <v>72</v>
      </c>
      <c r="L75" s="12">
        <v>6.7263945917713661E-2</v>
      </c>
      <c r="M75" s="12">
        <v>-2.0141464826854603E-2</v>
      </c>
      <c r="N75" s="12">
        <v>-0.24823755807814485</v>
      </c>
      <c r="O75" s="12">
        <v>0.42751364345515919</v>
      </c>
      <c r="P75" s="12"/>
      <c r="Q75" s="12"/>
      <c r="R75" s="20" t="s">
        <v>14</v>
      </c>
      <c r="S75" s="21" t="s">
        <v>110</v>
      </c>
      <c r="T75" s="10" t="s">
        <v>72</v>
      </c>
      <c r="U75" s="12">
        <v>0.22778856184914176</v>
      </c>
      <c r="V75" s="12">
        <v>-4.7769007287413109E-2</v>
      </c>
      <c r="W75" s="12">
        <v>2.0624959075873361E-2</v>
      </c>
    </row>
    <row r="76" spans="1:23" ht="14.45" customHeight="1" x14ac:dyDescent="0.25">
      <c r="A76">
        <v>202120</v>
      </c>
      <c r="B76" t="s">
        <v>7</v>
      </c>
      <c r="C76" t="s">
        <v>35</v>
      </c>
      <c r="D76">
        <v>11</v>
      </c>
      <c r="E76">
        <v>24021.23</v>
      </c>
      <c r="F76" s="5"/>
      <c r="G76" s="5"/>
    </row>
    <row r="77" spans="1:23" ht="14.45" customHeight="1" x14ac:dyDescent="0.25">
      <c r="A77">
        <v>202210</v>
      </c>
      <c r="B77" t="s">
        <v>7</v>
      </c>
      <c r="C77" t="s">
        <v>35</v>
      </c>
      <c r="D77">
        <v>20</v>
      </c>
      <c r="E77">
        <v>44230.84</v>
      </c>
      <c r="F77" s="5">
        <v>0.66666666666666663</v>
      </c>
      <c r="G77" s="5">
        <v>0.91194334565143786</v>
      </c>
    </row>
    <row r="78" spans="1:23" ht="14.45" customHeight="1" x14ac:dyDescent="0.25">
      <c r="A78">
        <v>202220</v>
      </c>
      <c r="B78" t="s">
        <v>7</v>
      </c>
      <c r="C78" t="s">
        <v>35</v>
      </c>
      <c r="D78">
        <v>11</v>
      </c>
      <c r="E78">
        <v>25122.240000000002</v>
      </c>
      <c r="F78" s="5">
        <v>0</v>
      </c>
      <c r="G78" s="5">
        <v>4.5834871902895979E-2</v>
      </c>
    </row>
    <row r="79" spans="1:23" ht="14.45" customHeight="1" x14ac:dyDescent="0.25">
      <c r="A79">
        <v>202310</v>
      </c>
      <c r="B79" t="s">
        <v>7</v>
      </c>
      <c r="C79" t="s">
        <v>35</v>
      </c>
      <c r="D79">
        <v>21</v>
      </c>
      <c r="E79">
        <v>48663.16</v>
      </c>
      <c r="F79" s="5">
        <v>0.05</v>
      </c>
      <c r="G79" s="5">
        <v>0.10020881357894192</v>
      </c>
    </row>
    <row r="80" spans="1:23" ht="14.45" customHeight="1" x14ac:dyDescent="0.25">
      <c r="A80">
        <v>202320</v>
      </c>
      <c r="B80" t="s">
        <v>7</v>
      </c>
      <c r="C80" t="s">
        <v>35</v>
      </c>
      <c r="D80">
        <v>16</v>
      </c>
      <c r="E80">
        <v>39900.120000000003</v>
      </c>
      <c r="F80" s="5">
        <v>0.45454545454545453</v>
      </c>
      <c r="G80" s="5">
        <v>0.58823894684550426</v>
      </c>
    </row>
    <row r="81" spans="1:7" x14ac:dyDescent="0.25">
      <c r="A81">
        <v>202410</v>
      </c>
      <c r="B81" t="s">
        <v>7</v>
      </c>
      <c r="C81" t="s">
        <v>35</v>
      </c>
      <c r="D81">
        <v>25</v>
      </c>
      <c r="E81">
        <v>56982.3</v>
      </c>
      <c r="F81" s="5">
        <v>0.19047619047619047</v>
      </c>
      <c r="G81" s="5">
        <v>0.17095355089969494</v>
      </c>
    </row>
    <row r="82" spans="1:7" x14ac:dyDescent="0.25">
      <c r="A82">
        <v>202420</v>
      </c>
      <c r="B82" t="s">
        <v>7</v>
      </c>
      <c r="C82" t="s">
        <v>35</v>
      </c>
      <c r="D82">
        <v>10</v>
      </c>
      <c r="E82">
        <v>21520.44</v>
      </c>
      <c r="F82" s="5">
        <v>-0.375</v>
      </c>
      <c r="G82" s="5">
        <v>-0.4606422236324102</v>
      </c>
    </row>
    <row r="83" spans="1:7" x14ac:dyDescent="0.25">
      <c r="A83" s="2">
        <v>202510</v>
      </c>
      <c r="B83" s="2" t="s">
        <v>7</v>
      </c>
      <c r="C83" s="2" t="s">
        <v>35</v>
      </c>
      <c r="D83" s="2">
        <v>16</v>
      </c>
      <c r="E83" s="2">
        <v>36242.07</v>
      </c>
      <c r="F83" s="6">
        <v>-0.36</v>
      </c>
      <c r="G83" s="6">
        <v>-0.3639767085568677</v>
      </c>
    </row>
    <row r="84" spans="1:7" x14ac:dyDescent="0.25">
      <c r="A84">
        <v>202110</v>
      </c>
      <c r="B84" t="s">
        <v>7</v>
      </c>
      <c r="C84" t="s">
        <v>36</v>
      </c>
      <c r="D84">
        <v>19</v>
      </c>
      <c r="E84">
        <v>48822.27</v>
      </c>
      <c r="F84" s="5"/>
      <c r="G84" s="5"/>
    </row>
    <row r="85" spans="1:7" x14ac:dyDescent="0.25">
      <c r="A85">
        <v>202120</v>
      </c>
      <c r="B85" t="s">
        <v>7</v>
      </c>
      <c r="C85" t="s">
        <v>36</v>
      </c>
      <c r="D85">
        <v>15</v>
      </c>
      <c r="E85">
        <v>38413.589999999997</v>
      </c>
      <c r="F85" s="5"/>
      <c r="G85" s="5"/>
    </row>
    <row r="86" spans="1:7" x14ac:dyDescent="0.25">
      <c r="A86">
        <v>202210</v>
      </c>
      <c r="B86" t="s">
        <v>7</v>
      </c>
      <c r="C86" t="s">
        <v>36</v>
      </c>
      <c r="D86">
        <v>26</v>
      </c>
      <c r="E86">
        <v>65917.61</v>
      </c>
      <c r="F86" s="5">
        <v>0.36842105263157893</v>
      </c>
      <c r="G86" s="5">
        <v>0.35015455037219706</v>
      </c>
    </row>
    <row r="87" spans="1:7" x14ac:dyDescent="0.25">
      <c r="A87">
        <v>202220</v>
      </c>
      <c r="B87" t="s">
        <v>7</v>
      </c>
      <c r="C87" t="s">
        <v>36</v>
      </c>
      <c r="D87">
        <v>20</v>
      </c>
      <c r="E87">
        <v>50676.2</v>
      </c>
      <c r="F87" s="5">
        <v>0.33333333333333331</v>
      </c>
      <c r="G87" s="5">
        <v>0.31922582606832639</v>
      </c>
    </row>
    <row r="88" spans="1:7" x14ac:dyDescent="0.25">
      <c r="A88">
        <v>202310</v>
      </c>
      <c r="B88" t="s">
        <v>7</v>
      </c>
      <c r="C88" t="s">
        <v>36</v>
      </c>
      <c r="D88">
        <v>30</v>
      </c>
      <c r="E88">
        <v>78829.14</v>
      </c>
      <c r="F88" s="5">
        <v>0.15384615384615385</v>
      </c>
      <c r="G88" s="5">
        <v>0.19587375816568589</v>
      </c>
    </row>
    <row r="89" spans="1:7" x14ac:dyDescent="0.25">
      <c r="A89">
        <v>202320</v>
      </c>
      <c r="B89" t="s">
        <v>7</v>
      </c>
      <c r="C89" t="s">
        <v>36</v>
      </c>
      <c r="D89">
        <v>11</v>
      </c>
      <c r="E89">
        <v>30085.47</v>
      </c>
      <c r="F89" s="5">
        <v>-0.45</v>
      </c>
      <c r="G89" s="5">
        <v>-0.40631953461388182</v>
      </c>
    </row>
    <row r="90" spans="1:7" x14ac:dyDescent="0.25">
      <c r="A90">
        <v>202410</v>
      </c>
      <c r="B90" t="s">
        <v>7</v>
      </c>
      <c r="C90" t="s">
        <v>36</v>
      </c>
      <c r="D90">
        <v>39</v>
      </c>
      <c r="E90">
        <v>98180.81</v>
      </c>
      <c r="F90" s="5">
        <v>0.3</v>
      </c>
      <c r="G90" s="5">
        <v>0.24548878752197473</v>
      </c>
    </row>
    <row r="91" spans="1:7" x14ac:dyDescent="0.25">
      <c r="A91">
        <v>202420</v>
      </c>
      <c r="B91" t="s">
        <v>7</v>
      </c>
      <c r="C91" t="s">
        <v>36</v>
      </c>
      <c r="D91">
        <v>8</v>
      </c>
      <c r="E91">
        <v>18109.86</v>
      </c>
      <c r="F91" s="5">
        <v>-0.27272727272727271</v>
      </c>
      <c r="G91" s="5">
        <v>-0.39805294715355949</v>
      </c>
    </row>
    <row r="92" spans="1:7" x14ac:dyDescent="0.25">
      <c r="A92" s="2">
        <v>202510</v>
      </c>
      <c r="B92" s="2" t="s">
        <v>7</v>
      </c>
      <c r="C92" s="2" t="s">
        <v>36</v>
      </c>
      <c r="D92" s="2">
        <v>32</v>
      </c>
      <c r="E92" s="2">
        <v>84443.66</v>
      </c>
      <c r="F92" s="6">
        <v>-0.17948717948717949</v>
      </c>
      <c r="G92" s="6">
        <v>-0.13991685340546686</v>
      </c>
    </row>
    <row r="93" spans="1:7" x14ac:dyDescent="0.25">
      <c r="A93">
        <v>202110</v>
      </c>
      <c r="B93" t="s">
        <v>7</v>
      </c>
      <c r="C93" t="s">
        <v>37</v>
      </c>
      <c r="D93">
        <v>36</v>
      </c>
      <c r="E93">
        <v>86444.09</v>
      </c>
      <c r="F93" s="5"/>
      <c r="G93" s="5"/>
    </row>
    <row r="94" spans="1:7" x14ac:dyDescent="0.25">
      <c r="A94">
        <v>202120</v>
      </c>
      <c r="B94" t="s">
        <v>7</v>
      </c>
      <c r="C94" t="s">
        <v>37</v>
      </c>
      <c r="D94">
        <v>23</v>
      </c>
      <c r="E94">
        <v>51082.64</v>
      </c>
      <c r="F94" s="5"/>
      <c r="G94" s="5"/>
    </row>
    <row r="95" spans="1:7" x14ac:dyDescent="0.25">
      <c r="A95">
        <v>202210</v>
      </c>
      <c r="B95" t="s">
        <v>7</v>
      </c>
      <c r="C95" t="s">
        <v>37</v>
      </c>
      <c r="D95">
        <v>64</v>
      </c>
      <c r="E95">
        <v>152382.75</v>
      </c>
      <c r="F95" s="5">
        <v>0.77777777777777779</v>
      </c>
      <c r="G95" s="5">
        <v>0.76278968290371274</v>
      </c>
    </row>
    <row r="96" spans="1:7" x14ac:dyDescent="0.25">
      <c r="A96">
        <v>202220</v>
      </c>
      <c r="B96" t="s">
        <v>7</v>
      </c>
      <c r="C96" t="s">
        <v>37</v>
      </c>
      <c r="D96">
        <v>51</v>
      </c>
      <c r="E96">
        <v>115033.04</v>
      </c>
      <c r="F96" s="5">
        <v>1.2173913043478262</v>
      </c>
      <c r="G96" s="5">
        <v>1.2519008414600341</v>
      </c>
    </row>
    <row r="97" spans="1:7" x14ac:dyDescent="0.25">
      <c r="A97">
        <v>202310</v>
      </c>
      <c r="B97" t="s">
        <v>7</v>
      </c>
      <c r="C97" t="s">
        <v>37</v>
      </c>
      <c r="D97">
        <v>68</v>
      </c>
      <c r="E97">
        <v>172973.34</v>
      </c>
      <c r="F97" s="5">
        <v>6.25E-2</v>
      </c>
      <c r="G97" s="5">
        <v>0.13512415283225954</v>
      </c>
    </row>
    <row r="98" spans="1:7" x14ac:dyDescent="0.25">
      <c r="A98">
        <v>202320</v>
      </c>
      <c r="B98" t="s">
        <v>7</v>
      </c>
      <c r="C98" t="s">
        <v>37</v>
      </c>
      <c r="D98">
        <v>55</v>
      </c>
      <c r="E98">
        <v>108337.72</v>
      </c>
      <c r="F98" s="5">
        <v>7.8431372549019607E-2</v>
      </c>
      <c r="G98" s="5">
        <v>-5.8203451808280411E-2</v>
      </c>
    </row>
    <row r="99" spans="1:7" x14ac:dyDescent="0.25">
      <c r="A99">
        <v>202410</v>
      </c>
      <c r="B99" t="s">
        <v>7</v>
      </c>
      <c r="C99" t="s">
        <v>37</v>
      </c>
      <c r="D99">
        <v>88</v>
      </c>
      <c r="E99">
        <v>198327.57</v>
      </c>
      <c r="F99" s="5">
        <v>0.29411764705882354</v>
      </c>
      <c r="G99" s="5">
        <v>0.14657883116554268</v>
      </c>
    </row>
    <row r="100" spans="1:7" x14ac:dyDescent="0.25">
      <c r="A100">
        <v>202420</v>
      </c>
      <c r="B100" t="s">
        <v>7</v>
      </c>
      <c r="C100" t="s">
        <v>37</v>
      </c>
      <c r="D100">
        <v>44</v>
      </c>
      <c r="E100">
        <v>94447.41</v>
      </c>
      <c r="F100" s="5">
        <v>-0.2</v>
      </c>
      <c r="G100" s="5">
        <v>-0.12821305451139267</v>
      </c>
    </row>
    <row r="101" spans="1:7" x14ac:dyDescent="0.25">
      <c r="A101" s="2">
        <v>202510</v>
      </c>
      <c r="B101" s="2" t="s">
        <v>7</v>
      </c>
      <c r="C101" s="2" t="s">
        <v>37</v>
      </c>
      <c r="D101" s="2">
        <v>71</v>
      </c>
      <c r="E101" s="2">
        <v>159130.68</v>
      </c>
      <c r="F101" s="6">
        <v>-0.19318181818181818</v>
      </c>
      <c r="G101" s="6">
        <v>-0.19763712125348992</v>
      </c>
    </row>
    <row r="102" spans="1:7" x14ac:dyDescent="0.25">
      <c r="A102">
        <v>202110</v>
      </c>
      <c r="B102" t="s">
        <v>7</v>
      </c>
      <c r="C102" t="s">
        <v>38</v>
      </c>
      <c r="D102">
        <v>19</v>
      </c>
      <c r="E102">
        <v>57758.52</v>
      </c>
      <c r="F102" s="5"/>
      <c r="G102" s="5"/>
    </row>
    <row r="103" spans="1:7" x14ac:dyDescent="0.25">
      <c r="A103">
        <v>202120</v>
      </c>
      <c r="B103" t="s">
        <v>7</v>
      </c>
      <c r="C103" t="s">
        <v>38</v>
      </c>
      <c r="D103">
        <v>5</v>
      </c>
      <c r="E103">
        <v>15149.8</v>
      </c>
      <c r="F103" s="5"/>
      <c r="G103" s="5"/>
    </row>
    <row r="104" spans="1:7" x14ac:dyDescent="0.25">
      <c r="A104">
        <v>202210</v>
      </c>
      <c r="B104" t="s">
        <v>7</v>
      </c>
      <c r="C104" t="s">
        <v>38</v>
      </c>
      <c r="D104">
        <v>13</v>
      </c>
      <c r="E104">
        <v>36410.9</v>
      </c>
      <c r="F104" s="5">
        <v>-0.31578947368421051</v>
      </c>
      <c r="G104" s="5">
        <v>-0.36960122939438195</v>
      </c>
    </row>
    <row r="105" spans="1:7" x14ac:dyDescent="0.25">
      <c r="A105">
        <v>202220</v>
      </c>
      <c r="B105" t="s">
        <v>7</v>
      </c>
      <c r="C105" t="s">
        <v>38</v>
      </c>
      <c r="D105">
        <v>8</v>
      </c>
      <c r="E105">
        <v>21588.65</v>
      </c>
      <c r="F105" s="5">
        <v>0.6</v>
      </c>
      <c r="G105" s="5">
        <v>0.42501221138232864</v>
      </c>
    </row>
    <row r="106" spans="1:7" x14ac:dyDescent="0.25">
      <c r="A106">
        <v>202310</v>
      </c>
      <c r="B106" t="s">
        <v>7</v>
      </c>
      <c r="C106" t="s">
        <v>38</v>
      </c>
      <c r="D106">
        <v>16</v>
      </c>
      <c r="E106">
        <v>50972.14</v>
      </c>
      <c r="F106" s="5">
        <v>0.23076923076923078</v>
      </c>
      <c r="G106" s="5">
        <v>0.39991431137379185</v>
      </c>
    </row>
    <row r="107" spans="1:7" x14ac:dyDescent="0.25">
      <c r="A107">
        <v>202320</v>
      </c>
      <c r="B107" t="s">
        <v>7</v>
      </c>
      <c r="C107" t="s">
        <v>38</v>
      </c>
      <c r="D107">
        <v>7</v>
      </c>
      <c r="E107">
        <v>21223.74</v>
      </c>
      <c r="F107" s="5">
        <v>-0.125</v>
      </c>
      <c r="G107" s="5">
        <v>-1.6902863310118966E-2</v>
      </c>
    </row>
    <row r="108" spans="1:7" x14ac:dyDescent="0.25">
      <c r="A108">
        <v>202410</v>
      </c>
      <c r="B108" t="s">
        <v>7</v>
      </c>
      <c r="C108" t="s">
        <v>38</v>
      </c>
      <c r="D108">
        <v>24</v>
      </c>
      <c r="E108">
        <v>70806.570000000007</v>
      </c>
      <c r="F108" s="5">
        <v>0.5</v>
      </c>
      <c r="G108" s="5">
        <v>0.38912296011115105</v>
      </c>
    </row>
    <row r="109" spans="1:7" x14ac:dyDescent="0.25">
      <c r="A109">
        <v>202420</v>
      </c>
      <c r="B109" t="s">
        <v>7</v>
      </c>
      <c r="C109" t="s">
        <v>38</v>
      </c>
      <c r="D109">
        <v>10</v>
      </c>
      <c r="E109">
        <v>27465.489999999998</v>
      </c>
      <c r="F109" s="5">
        <v>0.42857142857142855</v>
      </c>
      <c r="G109" s="5">
        <v>0.29409284131825947</v>
      </c>
    </row>
    <row r="110" spans="1:7" x14ac:dyDescent="0.25">
      <c r="A110" s="2">
        <v>202510</v>
      </c>
      <c r="B110" s="2" t="s">
        <v>7</v>
      </c>
      <c r="C110" s="2" t="s">
        <v>38</v>
      </c>
      <c r="D110" s="2">
        <v>13</v>
      </c>
      <c r="E110" s="2">
        <v>38384.5</v>
      </c>
      <c r="F110" s="6">
        <v>-0.45833333333333331</v>
      </c>
      <c r="G110" s="6">
        <v>-0.45789635057876699</v>
      </c>
    </row>
    <row r="111" spans="1:7" x14ac:dyDescent="0.25">
      <c r="A111">
        <v>202210</v>
      </c>
      <c r="B111" t="s">
        <v>7</v>
      </c>
      <c r="C111" t="s">
        <v>39</v>
      </c>
      <c r="D111">
        <v>2</v>
      </c>
      <c r="E111">
        <v>5489.9</v>
      </c>
      <c r="F111" s="5"/>
      <c r="G111" s="5"/>
    </row>
    <row r="112" spans="1:7" x14ac:dyDescent="0.25">
      <c r="A112">
        <v>202220</v>
      </c>
      <c r="B112" t="s">
        <v>7</v>
      </c>
      <c r="C112" t="s">
        <v>39</v>
      </c>
      <c r="D112">
        <v>13</v>
      </c>
      <c r="E112">
        <v>32221.07</v>
      </c>
      <c r="F112" s="5"/>
      <c r="G112" s="5"/>
    </row>
    <row r="113" spans="1:7" x14ac:dyDescent="0.25">
      <c r="A113">
        <v>202310</v>
      </c>
      <c r="B113" t="s">
        <v>7</v>
      </c>
      <c r="C113" t="s">
        <v>39</v>
      </c>
      <c r="D113">
        <v>36</v>
      </c>
      <c r="E113">
        <v>93999.27</v>
      </c>
      <c r="F113" s="5">
        <v>17</v>
      </c>
      <c r="G113" s="5">
        <v>16.122218983952351</v>
      </c>
    </row>
    <row r="114" spans="1:7" x14ac:dyDescent="0.25">
      <c r="A114">
        <v>202320</v>
      </c>
      <c r="B114" t="s">
        <v>7</v>
      </c>
      <c r="C114" t="s">
        <v>39</v>
      </c>
      <c r="D114">
        <v>12</v>
      </c>
      <c r="E114">
        <v>31183.22</v>
      </c>
      <c r="F114" s="5">
        <v>-7.6923076923076927E-2</v>
      </c>
      <c r="G114" s="5">
        <v>-3.2210289726567073E-2</v>
      </c>
    </row>
    <row r="115" spans="1:7" x14ac:dyDescent="0.25">
      <c r="A115">
        <v>202410</v>
      </c>
      <c r="B115" t="s">
        <v>7</v>
      </c>
      <c r="C115" t="s">
        <v>39</v>
      </c>
      <c r="D115">
        <v>31</v>
      </c>
      <c r="E115">
        <v>79278.75</v>
      </c>
      <c r="F115" s="5">
        <v>-0.1388888888888889</v>
      </c>
      <c r="G115" s="5">
        <v>-0.15660249276403959</v>
      </c>
    </row>
    <row r="116" spans="1:7" x14ac:dyDescent="0.25">
      <c r="A116">
        <v>202420</v>
      </c>
      <c r="B116" t="s">
        <v>7</v>
      </c>
      <c r="C116" t="s">
        <v>39</v>
      </c>
      <c r="D116">
        <v>14</v>
      </c>
      <c r="E116">
        <v>33083.81</v>
      </c>
      <c r="F116" s="5">
        <v>0.16666666666666666</v>
      </c>
      <c r="G116" s="5">
        <v>6.0949125843963399E-2</v>
      </c>
    </row>
    <row r="117" spans="1:7" x14ac:dyDescent="0.25">
      <c r="A117" s="2">
        <v>202510</v>
      </c>
      <c r="B117" s="2" t="s">
        <v>7</v>
      </c>
      <c r="C117" s="2" t="s">
        <v>39</v>
      </c>
      <c r="D117" s="2">
        <v>34</v>
      </c>
      <c r="E117" s="2">
        <v>89100.5</v>
      </c>
      <c r="F117" s="6">
        <v>9.6774193548387094E-2</v>
      </c>
      <c r="G117" s="6">
        <v>0.1238888100531353</v>
      </c>
    </row>
    <row r="118" spans="1:7" x14ac:dyDescent="0.25">
      <c r="A118">
        <v>202110</v>
      </c>
      <c r="B118" t="s">
        <v>7</v>
      </c>
      <c r="C118" t="s">
        <v>40</v>
      </c>
      <c r="D118">
        <v>128</v>
      </c>
      <c r="E118">
        <v>323756.26</v>
      </c>
      <c r="F118" s="5"/>
      <c r="G118" s="5"/>
    </row>
    <row r="119" spans="1:7" x14ac:dyDescent="0.25">
      <c r="A119">
        <v>202120</v>
      </c>
      <c r="B119" t="s">
        <v>7</v>
      </c>
      <c r="C119" t="s">
        <v>40</v>
      </c>
      <c r="D119">
        <v>56</v>
      </c>
      <c r="E119">
        <v>140763.94</v>
      </c>
      <c r="F119" s="5"/>
      <c r="G119" s="5"/>
    </row>
    <row r="120" spans="1:7" x14ac:dyDescent="0.25">
      <c r="A120">
        <v>202210</v>
      </c>
      <c r="B120" t="s">
        <v>7</v>
      </c>
      <c r="C120" t="s">
        <v>40</v>
      </c>
      <c r="D120">
        <v>134</v>
      </c>
      <c r="E120">
        <v>326098.51</v>
      </c>
      <c r="F120" s="5">
        <v>4.6875E-2</v>
      </c>
      <c r="G120" s="5">
        <v>7.2346091470169563E-3</v>
      </c>
    </row>
    <row r="121" spans="1:7" x14ac:dyDescent="0.25">
      <c r="A121">
        <v>202220</v>
      </c>
      <c r="B121" t="s">
        <v>7</v>
      </c>
      <c r="C121" t="s">
        <v>40</v>
      </c>
      <c r="D121">
        <v>83</v>
      </c>
      <c r="E121">
        <v>182190.68</v>
      </c>
      <c r="F121" s="5">
        <v>0.48214285714285715</v>
      </c>
      <c r="G121" s="5">
        <v>0.29429937809356566</v>
      </c>
    </row>
    <row r="122" spans="1:7" x14ac:dyDescent="0.25">
      <c r="A122">
        <v>202310</v>
      </c>
      <c r="B122" t="s">
        <v>7</v>
      </c>
      <c r="C122" t="s">
        <v>40</v>
      </c>
      <c r="D122">
        <v>150</v>
      </c>
      <c r="E122">
        <v>372907.82</v>
      </c>
      <c r="F122" s="5">
        <v>0.11940298507462686</v>
      </c>
      <c r="G122" s="5">
        <v>0.14354346482601224</v>
      </c>
    </row>
    <row r="123" spans="1:7" x14ac:dyDescent="0.25">
      <c r="A123">
        <v>202320</v>
      </c>
      <c r="B123" t="s">
        <v>7</v>
      </c>
      <c r="C123" t="s">
        <v>40</v>
      </c>
      <c r="D123">
        <v>133</v>
      </c>
      <c r="E123">
        <v>298938.2</v>
      </c>
      <c r="F123" s="5">
        <v>0.60240963855421692</v>
      </c>
      <c r="G123" s="5">
        <v>0.64079853041878998</v>
      </c>
    </row>
    <row r="124" spans="1:7" x14ac:dyDescent="0.25">
      <c r="A124">
        <v>202410</v>
      </c>
      <c r="B124" t="s">
        <v>7</v>
      </c>
      <c r="C124" t="s">
        <v>40</v>
      </c>
      <c r="D124">
        <v>200</v>
      </c>
      <c r="E124">
        <v>478789.36</v>
      </c>
      <c r="F124" s="5">
        <v>0.33333333333333331</v>
      </c>
      <c r="G124" s="5">
        <v>0.28393488771568259</v>
      </c>
    </row>
    <row r="125" spans="1:7" x14ac:dyDescent="0.25">
      <c r="A125">
        <v>202420</v>
      </c>
      <c r="B125" t="s">
        <v>7</v>
      </c>
      <c r="C125" t="s">
        <v>40</v>
      </c>
      <c r="D125">
        <v>107</v>
      </c>
      <c r="E125">
        <v>233755.89</v>
      </c>
      <c r="F125" s="5">
        <v>-0.19548872180451127</v>
      </c>
      <c r="G125" s="5">
        <v>-0.21804610451257148</v>
      </c>
    </row>
    <row r="126" spans="1:7" x14ac:dyDescent="0.25">
      <c r="A126" s="2">
        <v>202510</v>
      </c>
      <c r="B126" s="2" t="s">
        <v>7</v>
      </c>
      <c r="C126" s="2" t="s">
        <v>40</v>
      </c>
      <c r="D126" s="2">
        <v>190</v>
      </c>
      <c r="E126" s="2">
        <v>468817.71</v>
      </c>
      <c r="F126" s="6">
        <v>-0.05</v>
      </c>
      <c r="G126" s="6">
        <v>-2.0826799492787318E-2</v>
      </c>
    </row>
    <row r="127" spans="1:7" x14ac:dyDescent="0.25">
      <c r="A127">
        <v>202110</v>
      </c>
      <c r="B127" t="s">
        <v>7</v>
      </c>
      <c r="C127" t="s">
        <v>41</v>
      </c>
      <c r="D127">
        <v>24</v>
      </c>
      <c r="E127">
        <v>48341.89</v>
      </c>
      <c r="F127" s="5"/>
      <c r="G127" s="5"/>
    </row>
    <row r="128" spans="1:7" x14ac:dyDescent="0.25">
      <c r="A128">
        <v>202120</v>
      </c>
      <c r="B128" t="s">
        <v>7</v>
      </c>
      <c r="C128" t="s">
        <v>41</v>
      </c>
      <c r="D128">
        <v>8</v>
      </c>
      <c r="E128">
        <v>18206.25</v>
      </c>
      <c r="F128" s="5"/>
      <c r="G128" s="5"/>
    </row>
    <row r="129" spans="1:7" x14ac:dyDescent="0.25">
      <c r="A129">
        <v>202210</v>
      </c>
      <c r="B129" t="s">
        <v>7</v>
      </c>
      <c r="C129" t="s">
        <v>41</v>
      </c>
      <c r="D129">
        <v>15</v>
      </c>
      <c r="E129">
        <v>37709.85</v>
      </c>
      <c r="F129" s="5">
        <v>-0.375</v>
      </c>
      <c r="G129" s="5">
        <v>-0.21993430542330888</v>
      </c>
    </row>
    <row r="130" spans="1:7" x14ac:dyDescent="0.25">
      <c r="A130">
        <v>202220</v>
      </c>
      <c r="B130" t="s">
        <v>7</v>
      </c>
      <c r="C130" t="s">
        <v>41</v>
      </c>
      <c r="D130">
        <v>4</v>
      </c>
      <c r="E130">
        <v>6852.03</v>
      </c>
      <c r="F130" s="5">
        <v>-0.5</v>
      </c>
      <c r="G130" s="5">
        <v>-0.62364407826982504</v>
      </c>
    </row>
    <row r="131" spans="1:7" x14ac:dyDescent="0.25">
      <c r="A131">
        <v>202310</v>
      </c>
      <c r="B131" t="s">
        <v>7</v>
      </c>
      <c r="C131" t="s">
        <v>41</v>
      </c>
      <c r="D131">
        <v>8</v>
      </c>
      <c r="E131">
        <v>19962.8</v>
      </c>
      <c r="F131" s="5">
        <v>-0.46666666666666667</v>
      </c>
      <c r="G131" s="5">
        <v>-0.47062107115249729</v>
      </c>
    </row>
    <row r="132" spans="1:7" x14ac:dyDescent="0.25">
      <c r="A132">
        <v>202320</v>
      </c>
      <c r="B132" t="s">
        <v>7</v>
      </c>
      <c r="C132" t="s">
        <v>41</v>
      </c>
      <c r="D132">
        <v>14</v>
      </c>
      <c r="E132">
        <v>29408.77</v>
      </c>
      <c r="F132" s="5">
        <v>2.5</v>
      </c>
      <c r="G132" s="5">
        <v>3.2919791652984594</v>
      </c>
    </row>
    <row r="133" spans="1:7" x14ac:dyDescent="0.25">
      <c r="A133">
        <v>202410</v>
      </c>
      <c r="B133" t="s">
        <v>7</v>
      </c>
      <c r="C133" t="s">
        <v>41</v>
      </c>
      <c r="D133">
        <v>14</v>
      </c>
      <c r="E133">
        <v>35840</v>
      </c>
      <c r="F133" s="5">
        <v>0.75</v>
      </c>
      <c r="G133" s="5">
        <v>0.79533933115595012</v>
      </c>
    </row>
    <row r="134" spans="1:7" x14ac:dyDescent="0.25">
      <c r="A134">
        <v>202420</v>
      </c>
      <c r="B134" t="s">
        <v>7</v>
      </c>
      <c r="C134" t="s">
        <v>41</v>
      </c>
      <c r="D134">
        <v>12</v>
      </c>
      <c r="E134">
        <v>32256.5</v>
      </c>
      <c r="F134" s="5">
        <v>-0.14285714285714285</v>
      </c>
      <c r="G134" s="5">
        <v>9.6832679503427027E-2</v>
      </c>
    </row>
    <row r="135" spans="1:7" x14ac:dyDescent="0.25">
      <c r="A135" s="2">
        <v>202510</v>
      </c>
      <c r="B135" s="2" t="s">
        <v>7</v>
      </c>
      <c r="C135" s="2" t="s">
        <v>41</v>
      </c>
      <c r="D135" s="2">
        <v>20</v>
      </c>
      <c r="E135" s="2">
        <v>52785</v>
      </c>
      <c r="F135" s="6">
        <v>0.42857142857142855</v>
      </c>
      <c r="G135" s="6">
        <v>0.47279575892857145</v>
      </c>
    </row>
    <row r="136" spans="1:7" x14ac:dyDescent="0.25">
      <c r="A136">
        <v>202110</v>
      </c>
      <c r="B136" t="s">
        <v>8</v>
      </c>
      <c r="C136" t="s">
        <v>42</v>
      </c>
      <c r="D136">
        <v>46</v>
      </c>
      <c r="E136">
        <v>120041.38</v>
      </c>
      <c r="F136" s="5"/>
      <c r="G136" s="5"/>
    </row>
    <row r="137" spans="1:7" x14ac:dyDescent="0.25">
      <c r="A137">
        <v>202120</v>
      </c>
      <c r="B137" t="s">
        <v>8</v>
      </c>
      <c r="C137" t="s">
        <v>42</v>
      </c>
      <c r="D137">
        <v>13</v>
      </c>
      <c r="E137">
        <v>34886.19</v>
      </c>
      <c r="F137" s="5"/>
      <c r="G137" s="5"/>
    </row>
    <row r="138" spans="1:7" x14ac:dyDescent="0.25">
      <c r="A138">
        <v>202210</v>
      </c>
      <c r="B138" t="s">
        <v>8</v>
      </c>
      <c r="C138" t="s">
        <v>42</v>
      </c>
      <c r="D138">
        <v>35</v>
      </c>
      <c r="E138">
        <v>89429.04</v>
      </c>
      <c r="F138" s="5">
        <v>-0.2391304347826087</v>
      </c>
      <c r="G138" s="5">
        <v>-0.25501489569680064</v>
      </c>
    </row>
    <row r="139" spans="1:7" x14ac:dyDescent="0.25">
      <c r="A139">
        <v>202220</v>
      </c>
      <c r="B139" t="s">
        <v>8</v>
      </c>
      <c r="C139" t="s">
        <v>42</v>
      </c>
      <c r="D139">
        <v>13</v>
      </c>
      <c r="E139">
        <v>33362.239999999998</v>
      </c>
      <c r="F139" s="5">
        <v>0</v>
      </c>
      <c r="G139" s="5">
        <v>-4.3683474750323963E-2</v>
      </c>
    </row>
    <row r="140" spans="1:7" x14ac:dyDescent="0.25">
      <c r="A140">
        <v>202310</v>
      </c>
      <c r="B140" t="s">
        <v>8</v>
      </c>
      <c r="C140" t="s">
        <v>42</v>
      </c>
      <c r="D140">
        <v>38</v>
      </c>
      <c r="E140">
        <v>91756.79</v>
      </c>
      <c r="F140" s="5">
        <v>8.5714285714285715E-2</v>
      </c>
      <c r="G140" s="5">
        <v>2.6029016972562831E-2</v>
      </c>
    </row>
    <row r="141" spans="1:7" x14ac:dyDescent="0.25">
      <c r="A141">
        <v>202320</v>
      </c>
      <c r="B141" t="s">
        <v>8</v>
      </c>
      <c r="C141" t="s">
        <v>42</v>
      </c>
      <c r="D141">
        <v>16</v>
      </c>
      <c r="E141">
        <v>41035.25</v>
      </c>
      <c r="F141" s="5">
        <v>0.23076923076923078</v>
      </c>
      <c r="G141" s="5">
        <v>0.22999085193320359</v>
      </c>
    </row>
    <row r="142" spans="1:7" x14ac:dyDescent="0.25">
      <c r="A142">
        <v>202410</v>
      </c>
      <c r="B142" t="s">
        <v>8</v>
      </c>
      <c r="C142" t="s">
        <v>42</v>
      </c>
      <c r="D142">
        <v>37</v>
      </c>
      <c r="E142">
        <v>97983.239999999991</v>
      </c>
      <c r="F142" s="5">
        <v>-2.6315789473684209E-2</v>
      </c>
      <c r="G142" s="5">
        <v>6.7858193382745818E-2</v>
      </c>
    </row>
    <row r="143" spans="1:7" x14ac:dyDescent="0.25">
      <c r="A143">
        <v>202420</v>
      </c>
      <c r="B143" t="s">
        <v>8</v>
      </c>
      <c r="C143" t="s">
        <v>42</v>
      </c>
      <c r="D143">
        <v>24</v>
      </c>
      <c r="E143">
        <v>65481.54</v>
      </c>
      <c r="F143" s="5">
        <v>0.5</v>
      </c>
      <c r="G143" s="5">
        <v>0.59573878555632054</v>
      </c>
    </row>
    <row r="144" spans="1:7" x14ac:dyDescent="0.25">
      <c r="A144" s="2">
        <v>202510</v>
      </c>
      <c r="B144" s="2" t="s">
        <v>8</v>
      </c>
      <c r="C144" s="2" t="s">
        <v>42</v>
      </c>
      <c r="D144" s="2">
        <v>45</v>
      </c>
      <c r="E144" s="2">
        <v>119973.45999999999</v>
      </c>
      <c r="F144" s="6">
        <v>0.21621621621621623</v>
      </c>
      <c r="G144" s="6">
        <v>0.22442838183346461</v>
      </c>
    </row>
    <row r="145" spans="1:7" x14ac:dyDescent="0.25">
      <c r="A145">
        <v>202110</v>
      </c>
      <c r="B145" t="s">
        <v>9</v>
      </c>
      <c r="C145" t="s">
        <v>43</v>
      </c>
      <c r="D145">
        <v>10</v>
      </c>
      <c r="E145">
        <v>24501.1</v>
      </c>
      <c r="F145" s="5"/>
      <c r="G145" s="5"/>
    </row>
    <row r="146" spans="1:7" x14ac:dyDescent="0.25">
      <c r="A146">
        <v>202120</v>
      </c>
      <c r="B146" t="s">
        <v>9</v>
      </c>
      <c r="C146" t="s">
        <v>43</v>
      </c>
      <c r="D146">
        <v>4</v>
      </c>
      <c r="E146">
        <v>12660.69</v>
      </c>
      <c r="F146" s="5"/>
      <c r="G146" s="5"/>
    </row>
    <row r="147" spans="1:7" x14ac:dyDescent="0.25">
      <c r="A147">
        <v>202210</v>
      </c>
      <c r="B147" t="s">
        <v>9</v>
      </c>
      <c r="C147" t="s">
        <v>43</v>
      </c>
      <c r="D147">
        <v>7</v>
      </c>
      <c r="E147">
        <v>19410.68</v>
      </c>
      <c r="F147" s="5">
        <v>-0.3</v>
      </c>
      <c r="G147" s="5">
        <v>-0.20776291676700223</v>
      </c>
    </row>
    <row r="148" spans="1:7" x14ac:dyDescent="0.25">
      <c r="A148">
        <v>202220</v>
      </c>
      <c r="B148" t="s">
        <v>9</v>
      </c>
      <c r="C148" t="s">
        <v>43</v>
      </c>
      <c r="D148">
        <v>5</v>
      </c>
      <c r="E148">
        <v>8246.9599999999991</v>
      </c>
      <c r="F148" s="5">
        <v>0.25</v>
      </c>
      <c r="G148" s="5">
        <v>-0.34861686053445756</v>
      </c>
    </row>
    <row r="149" spans="1:7" x14ac:dyDescent="0.25">
      <c r="A149">
        <v>202310</v>
      </c>
      <c r="B149" t="s">
        <v>9</v>
      </c>
      <c r="C149" t="s">
        <v>43</v>
      </c>
      <c r="D149">
        <v>14</v>
      </c>
      <c r="E149">
        <v>40540.800000000003</v>
      </c>
      <c r="F149" s="5">
        <v>1</v>
      </c>
      <c r="G149" s="5">
        <v>1.0885821619850518</v>
      </c>
    </row>
    <row r="150" spans="1:7" x14ac:dyDescent="0.25">
      <c r="A150">
        <v>202320</v>
      </c>
      <c r="B150" t="s">
        <v>9</v>
      </c>
      <c r="C150" t="s">
        <v>43</v>
      </c>
      <c r="D150">
        <v>5</v>
      </c>
      <c r="E150">
        <v>12642.3</v>
      </c>
      <c r="F150" s="5">
        <v>0</v>
      </c>
      <c r="G150" s="5">
        <v>0.53296487432944994</v>
      </c>
    </row>
    <row r="151" spans="1:7" x14ac:dyDescent="0.25">
      <c r="A151">
        <v>202410</v>
      </c>
      <c r="B151" t="s">
        <v>9</v>
      </c>
      <c r="C151" t="s">
        <v>43</v>
      </c>
      <c r="D151">
        <v>22</v>
      </c>
      <c r="E151">
        <v>60192.13</v>
      </c>
      <c r="F151" s="5">
        <v>0.5714285714285714</v>
      </c>
      <c r="G151" s="5">
        <v>0.48472970439655838</v>
      </c>
    </row>
    <row r="152" spans="1:7" x14ac:dyDescent="0.25">
      <c r="A152">
        <v>202420</v>
      </c>
      <c r="B152" t="s">
        <v>9</v>
      </c>
      <c r="C152" t="s">
        <v>43</v>
      </c>
      <c r="D152">
        <v>10</v>
      </c>
      <c r="E152">
        <v>25782.65</v>
      </c>
      <c r="F152" s="5">
        <v>1</v>
      </c>
      <c r="G152" s="5">
        <v>1.0393955213845585</v>
      </c>
    </row>
    <row r="153" spans="1:7" x14ac:dyDescent="0.25">
      <c r="A153" s="2">
        <v>202510</v>
      </c>
      <c r="B153" s="2" t="s">
        <v>9</v>
      </c>
      <c r="C153" s="2" t="s">
        <v>43</v>
      </c>
      <c r="D153" s="2">
        <v>12</v>
      </c>
      <c r="E153" s="2">
        <v>32032</v>
      </c>
      <c r="F153" s="6">
        <v>-0.45454545454545453</v>
      </c>
      <c r="G153" s="6">
        <v>-0.46783740665100237</v>
      </c>
    </row>
    <row r="154" spans="1:7" x14ac:dyDescent="0.25">
      <c r="A154">
        <v>202110</v>
      </c>
      <c r="B154" t="s">
        <v>9</v>
      </c>
      <c r="C154" t="s">
        <v>44</v>
      </c>
      <c r="D154">
        <v>18</v>
      </c>
      <c r="E154">
        <v>43619.63</v>
      </c>
      <c r="F154" s="5"/>
      <c r="G154" s="5"/>
    </row>
    <row r="155" spans="1:7" x14ac:dyDescent="0.25">
      <c r="A155">
        <v>202120</v>
      </c>
      <c r="B155" t="s">
        <v>9</v>
      </c>
      <c r="C155" t="s">
        <v>44</v>
      </c>
      <c r="D155">
        <v>8</v>
      </c>
      <c r="E155">
        <v>19531.02</v>
      </c>
      <c r="F155" s="5"/>
      <c r="G155" s="5"/>
    </row>
    <row r="156" spans="1:7" x14ac:dyDescent="0.25">
      <c r="A156">
        <v>202210</v>
      </c>
      <c r="B156" t="s">
        <v>9</v>
      </c>
      <c r="C156" t="s">
        <v>44</v>
      </c>
      <c r="D156">
        <v>22</v>
      </c>
      <c r="E156">
        <v>53487.97</v>
      </c>
      <c r="F156" s="5">
        <v>0.22222222222222221</v>
      </c>
      <c r="G156" s="5">
        <v>0.22623621520861145</v>
      </c>
    </row>
    <row r="157" spans="1:7" x14ac:dyDescent="0.25">
      <c r="A157">
        <v>202220</v>
      </c>
      <c r="B157" t="s">
        <v>9</v>
      </c>
      <c r="C157" t="s">
        <v>44</v>
      </c>
      <c r="D157">
        <v>12</v>
      </c>
      <c r="E157">
        <v>31869.27</v>
      </c>
      <c r="F157" s="5">
        <v>0.5</v>
      </c>
      <c r="G157" s="5">
        <v>0.63172583920348246</v>
      </c>
    </row>
    <row r="158" spans="1:7" x14ac:dyDescent="0.25">
      <c r="A158">
        <v>202310</v>
      </c>
      <c r="B158" t="s">
        <v>9</v>
      </c>
      <c r="C158" t="s">
        <v>44</v>
      </c>
      <c r="D158">
        <v>17</v>
      </c>
      <c r="E158">
        <v>40844.32</v>
      </c>
      <c r="F158" s="5">
        <v>-0.22727272727272727</v>
      </c>
      <c r="G158" s="5">
        <v>-0.23638305959265235</v>
      </c>
    </row>
    <row r="159" spans="1:7" x14ac:dyDescent="0.25">
      <c r="A159">
        <v>202320</v>
      </c>
      <c r="B159" t="s">
        <v>9</v>
      </c>
      <c r="C159" t="s">
        <v>44</v>
      </c>
      <c r="D159">
        <v>7</v>
      </c>
      <c r="E159">
        <v>16578.89</v>
      </c>
      <c r="F159" s="5">
        <v>-0.41666666666666669</v>
      </c>
      <c r="G159" s="5">
        <v>-0.47978444438796375</v>
      </c>
    </row>
    <row r="160" spans="1:7" x14ac:dyDescent="0.25">
      <c r="A160">
        <v>202410</v>
      </c>
      <c r="B160" t="s">
        <v>9</v>
      </c>
      <c r="C160" t="s">
        <v>44</v>
      </c>
      <c r="D160">
        <v>27</v>
      </c>
      <c r="E160">
        <v>57892.79</v>
      </c>
      <c r="F160" s="5">
        <v>0.58823529411764708</v>
      </c>
      <c r="G160" s="5">
        <v>0.41740124453045124</v>
      </c>
    </row>
    <row r="161" spans="1:7" x14ac:dyDescent="0.25">
      <c r="A161">
        <v>202420</v>
      </c>
      <c r="B161" t="s">
        <v>9</v>
      </c>
      <c r="C161" t="s">
        <v>44</v>
      </c>
      <c r="D161">
        <v>20</v>
      </c>
      <c r="E161">
        <v>49078.39</v>
      </c>
      <c r="F161" s="5">
        <v>1.8571428571428572</v>
      </c>
      <c r="G161" s="5">
        <v>1.9602940848271508</v>
      </c>
    </row>
    <row r="162" spans="1:7" x14ac:dyDescent="0.25">
      <c r="A162" s="2">
        <v>202510</v>
      </c>
      <c r="B162" s="2" t="s">
        <v>9</v>
      </c>
      <c r="C162" s="2" t="s">
        <v>44</v>
      </c>
      <c r="D162" s="2">
        <v>17</v>
      </c>
      <c r="E162" s="2">
        <v>42842.85</v>
      </c>
      <c r="F162" s="6">
        <v>-0.37037037037037035</v>
      </c>
      <c r="G162" s="6">
        <v>-0.25996225091241937</v>
      </c>
    </row>
    <row r="163" spans="1:7" x14ac:dyDescent="0.25">
      <c r="A163">
        <v>202110</v>
      </c>
      <c r="B163" t="s">
        <v>9</v>
      </c>
      <c r="C163" t="s">
        <v>45</v>
      </c>
      <c r="D163">
        <v>24</v>
      </c>
      <c r="E163">
        <v>66927.789999999994</v>
      </c>
      <c r="F163" s="5"/>
      <c r="G163" s="5"/>
    </row>
    <row r="164" spans="1:7" x14ac:dyDescent="0.25">
      <c r="A164">
        <v>202120</v>
      </c>
      <c r="B164" t="s">
        <v>9</v>
      </c>
      <c r="C164" t="s">
        <v>45</v>
      </c>
      <c r="D164">
        <v>14</v>
      </c>
      <c r="E164">
        <v>37175.57</v>
      </c>
      <c r="F164" s="5"/>
      <c r="G164" s="5"/>
    </row>
    <row r="165" spans="1:7" x14ac:dyDescent="0.25">
      <c r="A165">
        <v>202210</v>
      </c>
      <c r="B165" t="s">
        <v>9</v>
      </c>
      <c r="C165" t="s">
        <v>45</v>
      </c>
      <c r="D165">
        <v>29</v>
      </c>
      <c r="E165">
        <v>79325.25</v>
      </c>
      <c r="F165" s="5">
        <v>0.20833333333333334</v>
      </c>
      <c r="G165" s="5">
        <v>0.18523635697518187</v>
      </c>
    </row>
    <row r="166" spans="1:7" x14ac:dyDescent="0.25">
      <c r="A166">
        <v>202220</v>
      </c>
      <c r="B166" t="s">
        <v>9</v>
      </c>
      <c r="C166" t="s">
        <v>45</v>
      </c>
      <c r="D166">
        <v>24</v>
      </c>
      <c r="E166">
        <v>67366.17</v>
      </c>
      <c r="F166" s="5">
        <v>0.7142857142857143</v>
      </c>
      <c r="G166" s="5">
        <v>0.81210859712440187</v>
      </c>
    </row>
    <row r="167" spans="1:7" x14ac:dyDescent="0.25">
      <c r="A167">
        <v>202310</v>
      </c>
      <c r="B167" t="s">
        <v>9</v>
      </c>
      <c r="C167" t="s">
        <v>45</v>
      </c>
      <c r="D167">
        <v>46</v>
      </c>
      <c r="E167">
        <v>131897.95000000001</v>
      </c>
      <c r="F167" s="5">
        <v>0.58620689655172409</v>
      </c>
      <c r="G167" s="5">
        <v>0.66274862039514548</v>
      </c>
    </row>
    <row r="168" spans="1:7" x14ac:dyDescent="0.25">
      <c r="A168">
        <v>202320</v>
      </c>
      <c r="B168" t="s">
        <v>9</v>
      </c>
      <c r="C168" t="s">
        <v>45</v>
      </c>
      <c r="D168">
        <v>13</v>
      </c>
      <c r="E168">
        <v>31000.799999999999</v>
      </c>
      <c r="F168" s="5">
        <v>-0.45833333333333331</v>
      </c>
      <c r="G168" s="5">
        <v>-0.53981649839971602</v>
      </c>
    </row>
    <row r="169" spans="1:7" x14ac:dyDescent="0.25">
      <c r="A169">
        <v>202410</v>
      </c>
      <c r="B169" t="s">
        <v>9</v>
      </c>
      <c r="C169" t="s">
        <v>45</v>
      </c>
      <c r="D169">
        <v>42</v>
      </c>
      <c r="E169">
        <v>117858.22</v>
      </c>
      <c r="F169" s="5">
        <v>-8.6956521739130432E-2</v>
      </c>
      <c r="G169" s="5">
        <v>-0.10644388332040043</v>
      </c>
    </row>
    <row r="170" spans="1:7" x14ac:dyDescent="0.25">
      <c r="A170">
        <v>202420</v>
      </c>
      <c r="B170" t="s">
        <v>9</v>
      </c>
      <c r="C170" t="s">
        <v>45</v>
      </c>
      <c r="D170">
        <v>13</v>
      </c>
      <c r="E170">
        <v>40001.800000000003</v>
      </c>
      <c r="F170" s="5">
        <v>0</v>
      </c>
      <c r="G170" s="5">
        <v>0.29034734587494526</v>
      </c>
    </row>
    <row r="171" spans="1:7" x14ac:dyDescent="0.25">
      <c r="A171" s="2">
        <v>202510</v>
      </c>
      <c r="B171" s="2" t="s">
        <v>9</v>
      </c>
      <c r="C171" s="2" t="s">
        <v>45</v>
      </c>
      <c r="D171" s="2">
        <v>30</v>
      </c>
      <c r="E171" s="2">
        <v>75714.98</v>
      </c>
      <c r="F171" s="6">
        <v>-0.2857142857142857</v>
      </c>
      <c r="G171" s="6">
        <v>-0.35757573803507303</v>
      </c>
    </row>
    <row r="172" spans="1:7" x14ac:dyDescent="0.25">
      <c r="A172">
        <v>202110</v>
      </c>
      <c r="B172" t="s">
        <v>9</v>
      </c>
      <c r="C172" t="s">
        <v>46</v>
      </c>
      <c r="D172">
        <v>73</v>
      </c>
      <c r="E172">
        <v>192148.57</v>
      </c>
      <c r="F172" s="5"/>
      <c r="G172" s="5"/>
    </row>
    <row r="173" spans="1:7" x14ac:dyDescent="0.25">
      <c r="A173">
        <v>202120</v>
      </c>
      <c r="B173" t="s">
        <v>9</v>
      </c>
      <c r="C173" t="s">
        <v>46</v>
      </c>
      <c r="D173">
        <v>40</v>
      </c>
      <c r="E173">
        <v>103429.16</v>
      </c>
      <c r="F173" s="5"/>
      <c r="G173" s="5"/>
    </row>
    <row r="174" spans="1:7" x14ac:dyDescent="0.25">
      <c r="A174">
        <v>202210</v>
      </c>
      <c r="B174" t="s">
        <v>9</v>
      </c>
      <c r="C174" t="s">
        <v>46</v>
      </c>
      <c r="D174">
        <v>85</v>
      </c>
      <c r="E174">
        <v>211262.39</v>
      </c>
      <c r="F174" s="5">
        <v>0.16438356164383561</v>
      </c>
      <c r="G174" s="5">
        <v>9.9474172511406181E-2</v>
      </c>
    </row>
    <row r="175" spans="1:7" x14ac:dyDescent="0.25">
      <c r="A175">
        <v>202220</v>
      </c>
      <c r="B175" t="s">
        <v>9</v>
      </c>
      <c r="C175" t="s">
        <v>46</v>
      </c>
      <c r="D175">
        <v>43</v>
      </c>
      <c r="E175">
        <v>104490.04</v>
      </c>
      <c r="F175" s="5">
        <v>7.4999999999999997E-2</v>
      </c>
      <c r="G175" s="5">
        <v>1.0257068702868612E-2</v>
      </c>
    </row>
    <row r="176" spans="1:7" x14ac:dyDescent="0.25">
      <c r="A176">
        <v>202310</v>
      </c>
      <c r="B176" t="s">
        <v>9</v>
      </c>
      <c r="C176" t="s">
        <v>46</v>
      </c>
      <c r="D176">
        <v>90</v>
      </c>
      <c r="E176">
        <v>237940.28</v>
      </c>
      <c r="F176" s="5">
        <v>5.8823529411764705E-2</v>
      </c>
      <c r="G176" s="5">
        <v>0.12627846347852065</v>
      </c>
    </row>
    <row r="177" spans="1:7" x14ac:dyDescent="0.25">
      <c r="A177">
        <v>202320</v>
      </c>
      <c r="B177" t="s">
        <v>9</v>
      </c>
      <c r="C177" t="s">
        <v>46</v>
      </c>
      <c r="D177">
        <v>36</v>
      </c>
      <c r="E177">
        <v>95904.27</v>
      </c>
      <c r="F177" s="5">
        <v>-0.16279069767441862</v>
      </c>
      <c r="G177" s="5">
        <v>-8.2168310013088233E-2</v>
      </c>
    </row>
    <row r="178" spans="1:7" x14ac:dyDescent="0.25">
      <c r="A178">
        <v>202410</v>
      </c>
      <c r="B178" t="s">
        <v>9</v>
      </c>
      <c r="C178" t="s">
        <v>46</v>
      </c>
      <c r="D178">
        <v>47</v>
      </c>
      <c r="E178">
        <v>122948.38</v>
      </c>
      <c r="F178" s="5">
        <v>-0.4777777777777778</v>
      </c>
      <c r="G178" s="5">
        <v>-0.48328051055500143</v>
      </c>
    </row>
    <row r="179" spans="1:7" x14ac:dyDescent="0.25">
      <c r="A179">
        <v>202420</v>
      </c>
      <c r="B179" t="s">
        <v>9</v>
      </c>
      <c r="C179" t="s">
        <v>46</v>
      </c>
      <c r="D179">
        <v>24</v>
      </c>
      <c r="E179">
        <v>62310.36</v>
      </c>
      <c r="F179" s="5">
        <v>-0.33333333333333331</v>
      </c>
      <c r="G179" s="5">
        <v>-0.35028586318419402</v>
      </c>
    </row>
    <row r="180" spans="1:7" x14ac:dyDescent="0.25">
      <c r="A180" s="2">
        <v>202510</v>
      </c>
      <c r="B180" s="2" t="s">
        <v>9</v>
      </c>
      <c r="C180" s="2" t="s">
        <v>46</v>
      </c>
      <c r="D180" s="2">
        <v>79</v>
      </c>
      <c r="E180" s="2">
        <v>200650.97</v>
      </c>
      <c r="F180" s="6">
        <v>0.68085106382978722</v>
      </c>
      <c r="G180" s="6">
        <v>0.63199360577178809</v>
      </c>
    </row>
    <row r="181" spans="1:7" x14ac:dyDescent="0.25">
      <c r="A181">
        <v>202110</v>
      </c>
      <c r="B181" t="s">
        <v>9</v>
      </c>
      <c r="C181" t="s">
        <v>47</v>
      </c>
      <c r="D181">
        <v>20</v>
      </c>
      <c r="E181">
        <v>45589.440000000002</v>
      </c>
      <c r="F181" s="5"/>
      <c r="G181" s="5"/>
    </row>
    <row r="182" spans="1:7" x14ac:dyDescent="0.25">
      <c r="A182">
        <v>202120</v>
      </c>
      <c r="B182" t="s">
        <v>9</v>
      </c>
      <c r="C182" t="s">
        <v>47</v>
      </c>
      <c r="D182">
        <v>10</v>
      </c>
      <c r="E182">
        <v>23319.54</v>
      </c>
      <c r="F182" s="5"/>
      <c r="G182" s="5"/>
    </row>
    <row r="183" spans="1:7" x14ac:dyDescent="0.25">
      <c r="A183">
        <v>202210</v>
      </c>
      <c r="B183" t="s">
        <v>9</v>
      </c>
      <c r="C183" t="s">
        <v>47</v>
      </c>
      <c r="D183">
        <v>23</v>
      </c>
      <c r="E183">
        <v>55583.14</v>
      </c>
      <c r="F183" s="5">
        <v>0.15</v>
      </c>
      <c r="G183" s="5">
        <v>0.21921085233773427</v>
      </c>
    </row>
    <row r="184" spans="1:7" x14ac:dyDescent="0.25">
      <c r="A184">
        <v>202220</v>
      </c>
      <c r="B184" t="s">
        <v>9</v>
      </c>
      <c r="C184" t="s">
        <v>47</v>
      </c>
      <c r="D184">
        <v>14</v>
      </c>
      <c r="E184">
        <v>33494.79</v>
      </c>
      <c r="F184" s="5">
        <v>0.4</v>
      </c>
      <c r="G184" s="5">
        <v>0.43634008218000869</v>
      </c>
    </row>
    <row r="185" spans="1:7" x14ac:dyDescent="0.25">
      <c r="A185">
        <v>202310</v>
      </c>
      <c r="B185" t="s">
        <v>9</v>
      </c>
      <c r="C185" t="s">
        <v>47</v>
      </c>
      <c r="D185">
        <v>21</v>
      </c>
      <c r="E185">
        <v>51148.83</v>
      </c>
      <c r="F185" s="5">
        <v>-8.6956521739130432E-2</v>
      </c>
      <c r="G185" s="5">
        <v>-7.9777968643009331E-2</v>
      </c>
    </row>
    <row r="186" spans="1:7" x14ac:dyDescent="0.25">
      <c r="A186">
        <v>202320</v>
      </c>
      <c r="B186" t="s">
        <v>9</v>
      </c>
      <c r="C186" t="s">
        <v>47</v>
      </c>
      <c r="D186">
        <v>6</v>
      </c>
      <c r="E186">
        <v>14645.11</v>
      </c>
      <c r="F186" s="5">
        <v>-0.5714285714285714</v>
      </c>
      <c r="G186" s="5">
        <v>-0.56276453741014643</v>
      </c>
    </row>
    <row r="187" spans="1:7" x14ac:dyDescent="0.25">
      <c r="A187">
        <v>202410</v>
      </c>
      <c r="B187" t="s">
        <v>9</v>
      </c>
      <c r="C187" t="s">
        <v>47</v>
      </c>
      <c r="D187">
        <v>19</v>
      </c>
      <c r="E187">
        <v>44773.120000000003</v>
      </c>
      <c r="F187" s="5">
        <v>-9.5238095238095233E-2</v>
      </c>
      <c r="G187" s="5">
        <v>-0.12465016306335842</v>
      </c>
    </row>
    <row r="188" spans="1:7" x14ac:dyDescent="0.25">
      <c r="A188">
        <v>202420</v>
      </c>
      <c r="B188" t="s">
        <v>9</v>
      </c>
      <c r="C188" t="s">
        <v>47</v>
      </c>
      <c r="D188">
        <v>6</v>
      </c>
      <c r="E188">
        <v>13082.02</v>
      </c>
      <c r="F188" s="5">
        <v>0</v>
      </c>
      <c r="G188" s="5">
        <v>-0.106731188772225</v>
      </c>
    </row>
    <row r="189" spans="1:7" x14ac:dyDescent="0.25">
      <c r="A189" s="2">
        <v>202510</v>
      </c>
      <c r="B189" s="2" t="s">
        <v>9</v>
      </c>
      <c r="C189" s="2" t="s">
        <v>47</v>
      </c>
      <c r="D189" s="2">
        <v>12</v>
      </c>
      <c r="E189" s="2">
        <v>28283.33</v>
      </c>
      <c r="F189" s="6">
        <v>-0.36842105263157893</v>
      </c>
      <c r="G189" s="6">
        <v>-0.36829664763143599</v>
      </c>
    </row>
    <row r="190" spans="1:7" x14ac:dyDescent="0.25">
      <c r="A190">
        <v>202110</v>
      </c>
      <c r="B190" t="s">
        <v>9</v>
      </c>
      <c r="C190" t="s">
        <v>48</v>
      </c>
      <c r="D190">
        <v>18</v>
      </c>
      <c r="E190">
        <v>53763.48</v>
      </c>
      <c r="F190" s="5"/>
      <c r="G190" s="5"/>
    </row>
    <row r="191" spans="1:7" x14ac:dyDescent="0.25">
      <c r="A191">
        <v>202120</v>
      </c>
      <c r="B191" t="s">
        <v>9</v>
      </c>
      <c r="C191" t="s">
        <v>48</v>
      </c>
      <c r="D191">
        <v>11</v>
      </c>
      <c r="E191">
        <v>29397.43</v>
      </c>
      <c r="F191" s="5"/>
      <c r="G191" s="5"/>
    </row>
    <row r="192" spans="1:7" x14ac:dyDescent="0.25">
      <c r="A192">
        <v>202210</v>
      </c>
      <c r="B192" t="s">
        <v>9</v>
      </c>
      <c r="C192" t="s">
        <v>48</v>
      </c>
      <c r="D192">
        <v>12</v>
      </c>
      <c r="E192">
        <v>30409.49</v>
      </c>
      <c r="F192" s="5">
        <v>-0.33333333333333331</v>
      </c>
      <c r="G192" s="5">
        <v>-0.43438389776852243</v>
      </c>
    </row>
    <row r="193" spans="1:7" x14ac:dyDescent="0.25">
      <c r="A193">
        <v>202220</v>
      </c>
      <c r="B193" t="s">
        <v>9</v>
      </c>
      <c r="C193" t="s">
        <v>48</v>
      </c>
      <c r="D193">
        <v>7</v>
      </c>
      <c r="E193">
        <v>16110.54</v>
      </c>
      <c r="F193" s="5">
        <v>-0.36363636363636365</v>
      </c>
      <c r="G193" s="5">
        <v>-0.45197454335293935</v>
      </c>
    </row>
    <row r="194" spans="1:7" x14ac:dyDescent="0.25">
      <c r="A194">
        <v>202310</v>
      </c>
      <c r="B194" t="s">
        <v>9</v>
      </c>
      <c r="C194" t="s">
        <v>48</v>
      </c>
      <c r="D194">
        <v>18</v>
      </c>
      <c r="E194">
        <v>49152.53</v>
      </c>
      <c r="F194" s="5">
        <v>0.5</v>
      </c>
      <c r="G194" s="5">
        <v>0.61635496024431835</v>
      </c>
    </row>
    <row r="195" spans="1:7" x14ac:dyDescent="0.25">
      <c r="A195">
        <v>202320</v>
      </c>
      <c r="B195" t="s">
        <v>9</v>
      </c>
      <c r="C195" t="s">
        <v>48</v>
      </c>
      <c r="D195">
        <v>13</v>
      </c>
      <c r="E195">
        <v>34280.33</v>
      </c>
      <c r="F195" s="5">
        <v>0.8571428571428571</v>
      </c>
      <c r="G195" s="5">
        <v>1.12782004824171</v>
      </c>
    </row>
    <row r="196" spans="1:7" x14ac:dyDescent="0.25">
      <c r="A196">
        <v>202410</v>
      </c>
      <c r="B196" t="s">
        <v>9</v>
      </c>
      <c r="C196" t="s">
        <v>48</v>
      </c>
      <c r="D196">
        <v>25</v>
      </c>
      <c r="E196">
        <v>66963.289999999994</v>
      </c>
      <c r="F196" s="5">
        <v>0.3888888888888889</v>
      </c>
      <c r="G196" s="5">
        <v>0.36235693259329671</v>
      </c>
    </row>
    <row r="197" spans="1:7" x14ac:dyDescent="0.25">
      <c r="A197">
        <v>202420</v>
      </c>
      <c r="B197" t="s">
        <v>9</v>
      </c>
      <c r="C197" t="s">
        <v>48</v>
      </c>
      <c r="D197">
        <v>9</v>
      </c>
      <c r="E197">
        <v>20509.3</v>
      </c>
      <c r="F197" s="5">
        <v>-0.30769230769230771</v>
      </c>
      <c r="G197" s="5">
        <v>-0.4017181281510418</v>
      </c>
    </row>
    <row r="198" spans="1:7" x14ac:dyDescent="0.25">
      <c r="A198" s="2">
        <v>202510</v>
      </c>
      <c r="B198" s="2" t="s">
        <v>9</v>
      </c>
      <c r="C198" s="2" t="s">
        <v>48</v>
      </c>
      <c r="D198" s="2">
        <v>23</v>
      </c>
      <c r="E198" s="2">
        <v>60883.6</v>
      </c>
      <c r="F198" s="6">
        <v>-0.08</v>
      </c>
      <c r="G198" s="6">
        <v>-9.0791387340735427E-2</v>
      </c>
    </row>
    <row r="199" spans="1:7" x14ac:dyDescent="0.25">
      <c r="A199">
        <v>202110</v>
      </c>
      <c r="B199" t="s">
        <v>10</v>
      </c>
      <c r="C199" t="s">
        <v>49</v>
      </c>
      <c r="D199">
        <v>151</v>
      </c>
      <c r="E199">
        <v>374073.26</v>
      </c>
      <c r="F199" s="5"/>
      <c r="G199" s="5"/>
    </row>
    <row r="200" spans="1:7" x14ac:dyDescent="0.25">
      <c r="A200">
        <v>202120</v>
      </c>
      <c r="B200" t="s">
        <v>10</v>
      </c>
      <c r="C200" t="s">
        <v>49</v>
      </c>
      <c r="D200">
        <v>80</v>
      </c>
      <c r="E200">
        <v>208430.18</v>
      </c>
      <c r="F200" s="5"/>
      <c r="G200" s="5"/>
    </row>
    <row r="201" spans="1:7" x14ac:dyDescent="0.25">
      <c r="A201">
        <v>202210</v>
      </c>
      <c r="B201" t="s">
        <v>10</v>
      </c>
      <c r="C201" t="s">
        <v>49</v>
      </c>
      <c r="D201">
        <v>132</v>
      </c>
      <c r="E201">
        <v>329798.68</v>
      </c>
      <c r="F201" s="5">
        <v>-0.12582781456953643</v>
      </c>
      <c r="G201" s="5">
        <v>-0.11835804569404404</v>
      </c>
    </row>
    <row r="202" spans="1:7" x14ac:dyDescent="0.25">
      <c r="A202">
        <v>202220</v>
      </c>
      <c r="B202" t="s">
        <v>10</v>
      </c>
      <c r="C202" t="s">
        <v>49</v>
      </c>
      <c r="D202">
        <v>91</v>
      </c>
      <c r="E202">
        <v>213216.36</v>
      </c>
      <c r="F202" s="5">
        <v>0.13750000000000001</v>
      </c>
      <c r="G202" s="5">
        <v>2.2962989332926707E-2</v>
      </c>
    </row>
    <row r="203" spans="1:7" x14ac:dyDescent="0.25">
      <c r="A203">
        <v>202310</v>
      </c>
      <c r="B203" t="s">
        <v>10</v>
      </c>
      <c r="C203" t="s">
        <v>49</v>
      </c>
      <c r="D203">
        <v>146</v>
      </c>
      <c r="E203">
        <v>375950.48</v>
      </c>
      <c r="F203" s="5">
        <v>0.10606060606060606</v>
      </c>
      <c r="G203" s="5">
        <v>0.1399393108547311</v>
      </c>
    </row>
    <row r="204" spans="1:7" x14ac:dyDescent="0.25">
      <c r="A204">
        <v>202320</v>
      </c>
      <c r="B204" t="s">
        <v>10</v>
      </c>
      <c r="C204" t="s">
        <v>49</v>
      </c>
      <c r="D204">
        <v>94</v>
      </c>
      <c r="E204">
        <v>209965.25</v>
      </c>
      <c r="F204" s="5">
        <v>3.2967032967032968E-2</v>
      </c>
      <c r="G204" s="5">
        <v>-1.524793876042151E-2</v>
      </c>
    </row>
    <row r="205" spans="1:7" x14ac:dyDescent="0.25">
      <c r="A205">
        <v>202410</v>
      </c>
      <c r="B205" t="s">
        <v>10</v>
      </c>
      <c r="C205" t="s">
        <v>49</v>
      </c>
      <c r="D205">
        <v>165</v>
      </c>
      <c r="E205">
        <v>372315.8</v>
      </c>
      <c r="F205" s="5">
        <v>0.13013698630136986</v>
      </c>
      <c r="G205" s="5">
        <v>-9.6679754205926081E-3</v>
      </c>
    </row>
    <row r="206" spans="1:7" x14ac:dyDescent="0.25">
      <c r="A206">
        <v>202420</v>
      </c>
      <c r="B206" t="s">
        <v>10</v>
      </c>
      <c r="C206" t="s">
        <v>49</v>
      </c>
      <c r="D206">
        <v>92</v>
      </c>
      <c r="E206">
        <v>189505.69</v>
      </c>
      <c r="F206" s="5">
        <v>-2.1276595744680851E-2</v>
      </c>
      <c r="G206" s="5">
        <v>-9.7442600620816999E-2</v>
      </c>
    </row>
    <row r="207" spans="1:7" x14ac:dyDescent="0.25">
      <c r="A207" s="2">
        <v>202510</v>
      </c>
      <c r="B207" s="2" t="s">
        <v>10</v>
      </c>
      <c r="C207" s="2" t="s">
        <v>49</v>
      </c>
      <c r="D207" s="2">
        <v>125</v>
      </c>
      <c r="E207" s="2">
        <v>299433.26</v>
      </c>
      <c r="F207" s="6">
        <v>-0.24242424242424243</v>
      </c>
      <c r="G207" s="6">
        <v>-0.19575462550877504</v>
      </c>
    </row>
    <row r="208" spans="1:7" x14ac:dyDescent="0.25">
      <c r="A208">
        <v>202110</v>
      </c>
      <c r="B208" t="s">
        <v>11</v>
      </c>
      <c r="C208" t="s">
        <v>50</v>
      </c>
      <c r="D208">
        <v>38</v>
      </c>
      <c r="E208">
        <v>98351.53</v>
      </c>
      <c r="F208" s="5"/>
      <c r="G208" s="5"/>
    </row>
    <row r="209" spans="1:7" x14ac:dyDescent="0.25">
      <c r="A209">
        <v>202120</v>
      </c>
      <c r="B209" t="s">
        <v>11</v>
      </c>
      <c r="C209" t="s">
        <v>50</v>
      </c>
      <c r="D209">
        <v>15</v>
      </c>
      <c r="E209">
        <v>40614.06</v>
      </c>
      <c r="F209" s="5"/>
      <c r="G209" s="5"/>
    </row>
    <row r="210" spans="1:7" x14ac:dyDescent="0.25">
      <c r="A210">
        <v>202210</v>
      </c>
      <c r="B210" t="s">
        <v>11</v>
      </c>
      <c r="C210" t="s">
        <v>50</v>
      </c>
      <c r="D210">
        <v>19</v>
      </c>
      <c r="E210">
        <v>46095.39</v>
      </c>
      <c r="F210" s="5">
        <v>-0.5</v>
      </c>
      <c r="G210" s="5">
        <v>-0.53132005165552587</v>
      </c>
    </row>
    <row r="211" spans="1:7" x14ac:dyDescent="0.25">
      <c r="A211">
        <v>202220</v>
      </c>
      <c r="B211" t="s">
        <v>11</v>
      </c>
      <c r="C211" t="s">
        <v>50</v>
      </c>
      <c r="D211">
        <v>15</v>
      </c>
      <c r="E211">
        <v>37283.39</v>
      </c>
      <c r="F211" s="5">
        <v>0</v>
      </c>
      <c r="G211" s="5">
        <v>-8.2007807148558862E-2</v>
      </c>
    </row>
    <row r="212" spans="1:7" x14ac:dyDescent="0.25">
      <c r="A212">
        <v>202310</v>
      </c>
      <c r="B212" t="s">
        <v>11</v>
      </c>
      <c r="C212" t="s">
        <v>50</v>
      </c>
      <c r="D212">
        <v>25</v>
      </c>
      <c r="E212">
        <v>69171.62</v>
      </c>
      <c r="F212" s="5">
        <v>0.31578947368421051</v>
      </c>
      <c r="G212" s="5">
        <v>0.50061904238146149</v>
      </c>
    </row>
    <row r="213" spans="1:7" x14ac:dyDescent="0.25">
      <c r="A213">
        <v>202320</v>
      </c>
      <c r="B213" t="s">
        <v>11</v>
      </c>
      <c r="C213" t="s">
        <v>50</v>
      </c>
      <c r="D213">
        <v>19</v>
      </c>
      <c r="E213">
        <v>50634.13</v>
      </c>
      <c r="F213" s="5">
        <v>0.26666666666666666</v>
      </c>
      <c r="G213" s="5">
        <v>0.35808814595453897</v>
      </c>
    </row>
    <row r="214" spans="1:7" x14ac:dyDescent="0.25">
      <c r="A214">
        <v>202410</v>
      </c>
      <c r="B214" t="s">
        <v>11</v>
      </c>
      <c r="C214" t="s">
        <v>50</v>
      </c>
      <c r="D214">
        <v>30</v>
      </c>
      <c r="E214">
        <v>76225.61</v>
      </c>
      <c r="F214" s="5">
        <v>0.2</v>
      </c>
      <c r="G214" s="5">
        <v>0.10197809448441436</v>
      </c>
    </row>
    <row r="215" spans="1:7" x14ac:dyDescent="0.25">
      <c r="A215">
        <v>202420</v>
      </c>
      <c r="B215" t="s">
        <v>11</v>
      </c>
      <c r="C215" t="s">
        <v>50</v>
      </c>
      <c r="D215">
        <v>15</v>
      </c>
      <c r="E215">
        <v>38561.19</v>
      </c>
      <c r="F215" s="5">
        <v>-0.21052631578947367</v>
      </c>
      <c r="G215" s="5">
        <v>-0.23843482646981384</v>
      </c>
    </row>
    <row r="216" spans="1:7" x14ac:dyDescent="0.25">
      <c r="A216" s="2">
        <v>202510</v>
      </c>
      <c r="B216" s="2" t="s">
        <v>11</v>
      </c>
      <c r="C216" s="2" t="s">
        <v>50</v>
      </c>
      <c r="D216" s="2">
        <v>24</v>
      </c>
      <c r="E216" s="2">
        <v>59641.78</v>
      </c>
      <c r="F216" s="6">
        <v>-0.2</v>
      </c>
      <c r="G216" s="6">
        <v>-0.21756244390828755</v>
      </c>
    </row>
    <row r="217" spans="1:7" x14ac:dyDescent="0.25">
      <c r="A217">
        <v>202110</v>
      </c>
      <c r="B217" t="s">
        <v>11</v>
      </c>
      <c r="C217" t="s">
        <v>51</v>
      </c>
      <c r="D217">
        <v>25</v>
      </c>
      <c r="E217">
        <v>63305.84</v>
      </c>
      <c r="F217" s="5"/>
      <c r="G217" s="5"/>
    </row>
    <row r="218" spans="1:7" x14ac:dyDescent="0.25">
      <c r="A218">
        <v>202120</v>
      </c>
      <c r="B218" t="s">
        <v>11</v>
      </c>
      <c r="C218" t="s">
        <v>51</v>
      </c>
      <c r="D218">
        <v>8</v>
      </c>
      <c r="E218">
        <v>18844.05</v>
      </c>
      <c r="F218" s="5"/>
      <c r="G218" s="5"/>
    </row>
    <row r="219" spans="1:7" x14ac:dyDescent="0.25">
      <c r="A219">
        <v>202210</v>
      </c>
      <c r="B219" t="s">
        <v>11</v>
      </c>
      <c r="C219" t="s">
        <v>51</v>
      </c>
      <c r="D219">
        <v>8</v>
      </c>
      <c r="E219">
        <v>19270.169999999998</v>
      </c>
      <c r="F219" s="5">
        <v>-0.68</v>
      </c>
      <c r="G219" s="5">
        <v>-0.69560201712827763</v>
      </c>
    </row>
    <row r="220" spans="1:7" x14ac:dyDescent="0.25">
      <c r="A220">
        <v>202220</v>
      </c>
      <c r="B220" t="s">
        <v>11</v>
      </c>
      <c r="C220" t="s">
        <v>51</v>
      </c>
      <c r="D220">
        <v>6</v>
      </c>
      <c r="E220">
        <v>15617.88</v>
      </c>
      <c r="F220" s="5">
        <v>-0.25</v>
      </c>
      <c r="G220" s="5">
        <v>-0.17120364252907416</v>
      </c>
    </row>
    <row r="221" spans="1:7" x14ac:dyDescent="0.25">
      <c r="A221">
        <v>202310</v>
      </c>
      <c r="B221" t="s">
        <v>11</v>
      </c>
      <c r="C221" t="s">
        <v>51</v>
      </c>
      <c r="D221">
        <v>9</v>
      </c>
      <c r="E221">
        <v>24080.3</v>
      </c>
      <c r="F221" s="5">
        <v>0.125</v>
      </c>
      <c r="G221" s="5">
        <v>0.24961533811066541</v>
      </c>
    </row>
    <row r="222" spans="1:7" x14ac:dyDescent="0.25">
      <c r="A222">
        <v>202320</v>
      </c>
      <c r="B222" t="s">
        <v>11</v>
      </c>
      <c r="C222" t="s">
        <v>51</v>
      </c>
      <c r="D222">
        <v>7</v>
      </c>
      <c r="E222">
        <v>16637.89</v>
      </c>
      <c r="F222" s="5">
        <v>0.16666666666666666</v>
      </c>
      <c r="G222" s="5">
        <v>6.5310400643365185E-2</v>
      </c>
    </row>
    <row r="223" spans="1:7" x14ac:dyDescent="0.25">
      <c r="A223">
        <v>202410</v>
      </c>
      <c r="B223" t="s">
        <v>11</v>
      </c>
      <c r="C223" t="s">
        <v>51</v>
      </c>
      <c r="D223">
        <v>16</v>
      </c>
      <c r="E223">
        <v>44459.24</v>
      </c>
      <c r="F223" s="5">
        <v>0.77777777777777779</v>
      </c>
      <c r="G223" s="5">
        <v>0.84629095152469025</v>
      </c>
    </row>
    <row r="224" spans="1:7" x14ac:dyDescent="0.25">
      <c r="A224">
        <v>202420</v>
      </c>
      <c r="B224" t="s">
        <v>11</v>
      </c>
      <c r="C224" t="s">
        <v>51</v>
      </c>
      <c r="D224">
        <v>9</v>
      </c>
      <c r="E224">
        <v>22119.16</v>
      </c>
      <c r="F224" s="5">
        <v>0.2857142857142857</v>
      </c>
      <c r="G224" s="5">
        <v>0.32944501977113688</v>
      </c>
    </row>
    <row r="225" spans="1:7" x14ac:dyDescent="0.25">
      <c r="A225" s="2">
        <v>202510</v>
      </c>
      <c r="B225" s="2" t="s">
        <v>11</v>
      </c>
      <c r="C225" s="2" t="s">
        <v>51</v>
      </c>
      <c r="D225" s="2">
        <v>11</v>
      </c>
      <c r="E225" s="2">
        <v>26561.13</v>
      </c>
      <c r="F225" s="6">
        <v>-0.3125</v>
      </c>
      <c r="G225" s="6">
        <v>-0.40257345829573332</v>
      </c>
    </row>
    <row r="226" spans="1:7" x14ac:dyDescent="0.25">
      <c r="A226">
        <v>202110</v>
      </c>
      <c r="B226" t="s">
        <v>11</v>
      </c>
      <c r="C226" t="s">
        <v>52</v>
      </c>
      <c r="D226">
        <v>54</v>
      </c>
      <c r="E226">
        <v>128056.76</v>
      </c>
      <c r="F226" s="5"/>
      <c r="G226" s="5"/>
    </row>
    <row r="227" spans="1:7" x14ac:dyDescent="0.25">
      <c r="A227">
        <v>202120</v>
      </c>
      <c r="B227" t="s">
        <v>11</v>
      </c>
      <c r="C227" t="s">
        <v>52</v>
      </c>
      <c r="D227">
        <v>15</v>
      </c>
      <c r="E227">
        <v>34513.449999999997</v>
      </c>
      <c r="F227" s="5"/>
      <c r="G227" s="5"/>
    </row>
    <row r="228" spans="1:7" x14ac:dyDescent="0.25">
      <c r="A228">
        <v>202210</v>
      </c>
      <c r="B228" t="s">
        <v>11</v>
      </c>
      <c r="C228" t="s">
        <v>52</v>
      </c>
      <c r="D228">
        <v>43</v>
      </c>
      <c r="E228">
        <v>91755.7</v>
      </c>
      <c r="F228" s="5">
        <v>-0.20370370370370369</v>
      </c>
      <c r="G228" s="5">
        <v>-0.28347632721615007</v>
      </c>
    </row>
    <row r="229" spans="1:7" x14ac:dyDescent="0.25">
      <c r="A229">
        <v>202220</v>
      </c>
      <c r="B229" t="s">
        <v>11</v>
      </c>
      <c r="C229" t="s">
        <v>52</v>
      </c>
      <c r="D229">
        <v>26</v>
      </c>
      <c r="E229">
        <v>56458.9</v>
      </c>
      <c r="F229" s="5">
        <v>0.73333333333333328</v>
      </c>
      <c r="G229" s="5">
        <v>0.63585210982964635</v>
      </c>
    </row>
    <row r="230" spans="1:7" x14ac:dyDescent="0.25">
      <c r="A230">
        <v>202310</v>
      </c>
      <c r="B230" t="s">
        <v>11</v>
      </c>
      <c r="C230" t="s">
        <v>52</v>
      </c>
      <c r="D230">
        <v>56</v>
      </c>
      <c r="E230">
        <v>121791.71</v>
      </c>
      <c r="F230" s="5">
        <v>0.30232558139534882</v>
      </c>
      <c r="G230" s="5">
        <v>0.32734761982089405</v>
      </c>
    </row>
    <row r="231" spans="1:7" x14ac:dyDescent="0.25">
      <c r="A231">
        <v>202320</v>
      </c>
      <c r="B231" t="s">
        <v>11</v>
      </c>
      <c r="C231" t="s">
        <v>52</v>
      </c>
      <c r="D231">
        <v>25</v>
      </c>
      <c r="E231">
        <v>55513.88</v>
      </c>
      <c r="F231" s="5">
        <v>-3.8461538461538464E-2</v>
      </c>
      <c r="G231" s="5">
        <v>-1.6738193624034545E-2</v>
      </c>
    </row>
    <row r="232" spans="1:7" x14ac:dyDescent="0.25">
      <c r="A232">
        <v>202410</v>
      </c>
      <c r="B232" t="s">
        <v>11</v>
      </c>
      <c r="C232" t="s">
        <v>52</v>
      </c>
      <c r="D232">
        <v>64</v>
      </c>
      <c r="E232">
        <v>151516.29</v>
      </c>
      <c r="F232" s="5">
        <v>0.14285714285714285</v>
      </c>
      <c r="G232" s="5">
        <v>0.24406078213369367</v>
      </c>
    </row>
    <row r="233" spans="1:7" x14ac:dyDescent="0.25">
      <c r="A233">
        <v>202420</v>
      </c>
      <c r="B233" t="s">
        <v>11</v>
      </c>
      <c r="C233" t="s">
        <v>52</v>
      </c>
      <c r="D233">
        <v>19</v>
      </c>
      <c r="E233">
        <v>45033.52</v>
      </c>
      <c r="F233" s="5">
        <v>-0.24</v>
      </c>
      <c r="G233" s="5">
        <v>-0.18878810128205778</v>
      </c>
    </row>
    <row r="234" spans="1:7" x14ac:dyDescent="0.25">
      <c r="A234" s="2">
        <v>202510</v>
      </c>
      <c r="B234" s="2" t="s">
        <v>11</v>
      </c>
      <c r="C234" s="2" t="s">
        <v>53</v>
      </c>
      <c r="D234" s="2">
        <v>55</v>
      </c>
      <c r="E234" s="2">
        <v>126747.72</v>
      </c>
      <c r="F234" s="6">
        <v>-0.140625</v>
      </c>
      <c r="G234" s="6">
        <v>-0.16347133367639879</v>
      </c>
    </row>
    <row r="235" spans="1:7" x14ac:dyDescent="0.25">
      <c r="A235">
        <v>202110</v>
      </c>
      <c r="B235" t="s">
        <v>11</v>
      </c>
      <c r="C235" t="s">
        <v>54</v>
      </c>
      <c r="D235">
        <v>16</v>
      </c>
      <c r="E235">
        <v>38754.68</v>
      </c>
      <c r="F235" s="5"/>
      <c r="G235" s="5"/>
    </row>
    <row r="236" spans="1:7" x14ac:dyDescent="0.25">
      <c r="A236">
        <v>202120</v>
      </c>
      <c r="B236" t="s">
        <v>11</v>
      </c>
      <c r="C236" t="s">
        <v>54</v>
      </c>
      <c r="D236">
        <v>6</v>
      </c>
      <c r="E236">
        <v>12175.8</v>
      </c>
      <c r="F236" s="5"/>
      <c r="G236" s="5"/>
    </row>
    <row r="237" spans="1:7" x14ac:dyDescent="0.25">
      <c r="A237">
        <v>202210</v>
      </c>
      <c r="B237" t="s">
        <v>11</v>
      </c>
      <c r="C237" t="s">
        <v>54</v>
      </c>
      <c r="D237">
        <v>12</v>
      </c>
      <c r="E237">
        <v>26173.439999999999</v>
      </c>
      <c r="F237" s="5">
        <v>-0.25</v>
      </c>
      <c r="G237" s="5">
        <v>-0.32463795340330515</v>
      </c>
    </row>
    <row r="238" spans="1:7" x14ac:dyDescent="0.25">
      <c r="A238">
        <v>202220</v>
      </c>
      <c r="B238" t="s">
        <v>11</v>
      </c>
      <c r="C238" t="s">
        <v>54</v>
      </c>
      <c r="D238">
        <v>11</v>
      </c>
      <c r="E238">
        <v>21715.9</v>
      </c>
      <c r="F238" s="5">
        <v>0.83333333333333337</v>
      </c>
      <c r="G238" s="5">
        <v>0.7835296243367994</v>
      </c>
    </row>
    <row r="239" spans="1:7" x14ac:dyDescent="0.25">
      <c r="A239">
        <v>202310</v>
      </c>
      <c r="B239" t="s">
        <v>11</v>
      </c>
      <c r="C239" t="s">
        <v>54</v>
      </c>
      <c r="D239">
        <v>30</v>
      </c>
      <c r="E239">
        <v>68715.22</v>
      </c>
      <c r="F239" s="5">
        <v>1.5</v>
      </c>
      <c r="G239" s="5">
        <v>1.6253797743055556</v>
      </c>
    </row>
    <row r="240" spans="1:7" x14ac:dyDescent="0.25">
      <c r="A240">
        <v>202320</v>
      </c>
      <c r="B240" t="s">
        <v>11</v>
      </c>
      <c r="C240" t="s">
        <v>54</v>
      </c>
      <c r="D240">
        <v>26</v>
      </c>
      <c r="E240">
        <v>51406.559999999998</v>
      </c>
      <c r="F240" s="5">
        <v>1.3636363636363635</v>
      </c>
      <c r="G240" s="5">
        <v>1.3672313834563612</v>
      </c>
    </row>
    <row r="241" spans="1:7" x14ac:dyDescent="0.25">
      <c r="A241">
        <v>202410</v>
      </c>
      <c r="B241" t="s">
        <v>11</v>
      </c>
      <c r="C241" t="s">
        <v>54</v>
      </c>
      <c r="D241">
        <v>49</v>
      </c>
      <c r="E241">
        <v>107311.71</v>
      </c>
      <c r="F241" s="5">
        <v>0.6333333333333333</v>
      </c>
      <c r="G241" s="5">
        <v>0.56168764358172762</v>
      </c>
    </row>
    <row r="242" spans="1:7" x14ac:dyDescent="0.25">
      <c r="A242">
        <v>202420</v>
      </c>
      <c r="B242" t="s">
        <v>11</v>
      </c>
      <c r="C242" t="s">
        <v>54</v>
      </c>
      <c r="D242">
        <v>42</v>
      </c>
      <c r="E242">
        <v>81024.759999999995</v>
      </c>
      <c r="F242" s="5">
        <v>0.61538461538461542</v>
      </c>
      <c r="G242" s="5">
        <v>0.57615603922923453</v>
      </c>
    </row>
    <row r="243" spans="1:7" x14ac:dyDescent="0.25">
      <c r="A243" s="2">
        <v>202510</v>
      </c>
      <c r="B243" s="2" t="s">
        <v>11</v>
      </c>
      <c r="C243" s="2" t="s">
        <v>54</v>
      </c>
      <c r="D243" s="2">
        <v>54</v>
      </c>
      <c r="E243" s="2">
        <v>109337.98</v>
      </c>
      <c r="F243" s="6">
        <v>0.10204081632653061</v>
      </c>
      <c r="G243" s="6">
        <v>1.8882095905470051E-2</v>
      </c>
    </row>
    <row r="244" spans="1:7" x14ac:dyDescent="0.25">
      <c r="A244">
        <v>202110</v>
      </c>
      <c r="B244" t="s">
        <v>11</v>
      </c>
      <c r="C244" t="s">
        <v>55</v>
      </c>
      <c r="D244">
        <v>19</v>
      </c>
      <c r="E244">
        <v>51033.81</v>
      </c>
      <c r="F244" s="5"/>
      <c r="G244" s="5"/>
    </row>
    <row r="245" spans="1:7" x14ac:dyDescent="0.25">
      <c r="A245">
        <v>202120</v>
      </c>
      <c r="B245" t="s">
        <v>11</v>
      </c>
      <c r="C245" t="s">
        <v>55</v>
      </c>
      <c r="D245">
        <v>7</v>
      </c>
      <c r="E245">
        <v>16991.02</v>
      </c>
      <c r="F245" s="5"/>
      <c r="G245" s="5"/>
    </row>
    <row r="246" spans="1:7" x14ac:dyDescent="0.25">
      <c r="A246">
        <v>202210</v>
      </c>
      <c r="B246" t="s">
        <v>11</v>
      </c>
      <c r="C246" t="s">
        <v>55</v>
      </c>
      <c r="D246">
        <v>33</v>
      </c>
      <c r="E246">
        <v>85033.56</v>
      </c>
      <c r="F246" s="5">
        <v>0.73684210526315785</v>
      </c>
      <c r="G246" s="5">
        <v>0.66622009996902054</v>
      </c>
    </row>
    <row r="247" spans="1:7" x14ac:dyDescent="0.25">
      <c r="A247">
        <v>202220</v>
      </c>
      <c r="B247" t="s">
        <v>11</v>
      </c>
      <c r="C247" t="s">
        <v>55</v>
      </c>
      <c r="D247">
        <v>13</v>
      </c>
      <c r="E247">
        <v>33178.81</v>
      </c>
      <c r="F247" s="5">
        <v>0.8571428571428571</v>
      </c>
      <c r="G247" s="5">
        <v>0.95272620478346781</v>
      </c>
    </row>
    <row r="248" spans="1:7" x14ac:dyDescent="0.25">
      <c r="A248">
        <v>202310</v>
      </c>
      <c r="B248" t="s">
        <v>11</v>
      </c>
      <c r="C248" t="s">
        <v>55</v>
      </c>
      <c r="D248">
        <v>44</v>
      </c>
      <c r="E248">
        <v>114176.18</v>
      </c>
      <c r="F248" s="5">
        <v>0.33333333333333331</v>
      </c>
      <c r="G248" s="5">
        <v>0.34271903940044374</v>
      </c>
    </row>
    <row r="249" spans="1:7" x14ac:dyDescent="0.25">
      <c r="A249">
        <v>202320</v>
      </c>
      <c r="B249" t="s">
        <v>11</v>
      </c>
      <c r="C249" t="s">
        <v>55</v>
      </c>
      <c r="D249">
        <v>21</v>
      </c>
      <c r="E249">
        <v>57929.65</v>
      </c>
      <c r="F249" s="5">
        <v>0.61538461538461542</v>
      </c>
      <c r="G249" s="5">
        <v>0.7459833550389543</v>
      </c>
    </row>
    <row r="250" spans="1:7" x14ac:dyDescent="0.25">
      <c r="A250">
        <v>202410</v>
      </c>
      <c r="B250" t="s">
        <v>11</v>
      </c>
      <c r="C250" t="s">
        <v>55</v>
      </c>
      <c r="D250">
        <v>43</v>
      </c>
      <c r="E250">
        <v>114692.9</v>
      </c>
      <c r="F250" s="5">
        <v>-2.2727272727272728E-2</v>
      </c>
      <c r="G250" s="5">
        <v>4.5256374841057146E-3</v>
      </c>
    </row>
    <row r="251" spans="1:7" x14ac:dyDescent="0.25">
      <c r="A251">
        <v>202420</v>
      </c>
      <c r="B251" t="s">
        <v>11</v>
      </c>
      <c r="C251" t="s">
        <v>55</v>
      </c>
      <c r="D251">
        <v>23</v>
      </c>
      <c r="E251">
        <v>55562.43</v>
      </c>
      <c r="F251" s="5">
        <v>9.5238095238095233E-2</v>
      </c>
      <c r="G251" s="5">
        <v>-4.0863702784325488E-2</v>
      </c>
    </row>
    <row r="252" spans="1:7" x14ac:dyDescent="0.25">
      <c r="A252" s="2">
        <v>202510</v>
      </c>
      <c r="B252" s="2" t="s">
        <v>11</v>
      </c>
      <c r="C252" s="2" t="s">
        <v>56</v>
      </c>
      <c r="D252" s="2">
        <v>43</v>
      </c>
      <c r="E252" s="2">
        <v>115420.18</v>
      </c>
      <c r="F252" s="6">
        <v>0</v>
      </c>
      <c r="G252" s="6">
        <v>6.3411074268764573E-3</v>
      </c>
    </row>
    <row r="253" spans="1:7" x14ac:dyDescent="0.25">
      <c r="A253">
        <v>202110</v>
      </c>
      <c r="B253" t="s">
        <v>11</v>
      </c>
      <c r="C253" t="s">
        <v>57</v>
      </c>
      <c r="D253">
        <v>70</v>
      </c>
      <c r="E253">
        <v>177765.86</v>
      </c>
      <c r="F253" s="5"/>
      <c r="G253" s="5"/>
    </row>
    <row r="254" spans="1:7" x14ac:dyDescent="0.25">
      <c r="A254">
        <v>202120</v>
      </c>
      <c r="B254" t="s">
        <v>11</v>
      </c>
      <c r="C254" t="s">
        <v>57</v>
      </c>
      <c r="D254">
        <v>18</v>
      </c>
      <c r="E254">
        <v>41894.980000000003</v>
      </c>
      <c r="F254" s="5"/>
      <c r="G254" s="5"/>
    </row>
    <row r="255" spans="1:7" x14ac:dyDescent="0.25">
      <c r="A255">
        <v>202210</v>
      </c>
      <c r="B255" t="s">
        <v>11</v>
      </c>
      <c r="C255" t="s">
        <v>57</v>
      </c>
      <c r="D255">
        <v>34</v>
      </c>
      <c r="E255">
        <v>89124.01</v>
      </c>
      <c r="F255" s="5">
        <v>-0.51428571428571423</v>
      </c>
      <c r="G255" s="5">
        <v>-0.49864383408602753</v>
      </c>
    </row>
    <row r="256" spans="1:7" x14ac:dyDescent="0.25">
      <c r="A256">
        <v>202220</v>
      </c>
      <c r="B256" t="s">
        <v>11</v>
      </c>
      <c r="C256" t="s">
        <v>57</v>
      </c>
      <c r="D256">
        <v>23</v>
      </c>
      <c r="E256">
        <v>55489.49</v>
      </c>
      <c r="F256" s="5">
        <v>0.27777777777777779</v>
      </c>
      <c r="G256" s="5">
        <v>0.32449018951673908</v>
      </c>
    </row>
    <row r="257" spans="1:7" x14ac:dyDescent="0.25">
      <c r="A257">
        <v>202310</v>
      </c>
      <c r="B257" t="s">
        <v>11</v>
      </c>
      <c r="C257" t="s">
        <v>57</v>
      </c>
      <c r="D257">
        <v>38</v>
      </c>
      <c r="E257">
        <v>97367.23</v>
      </c>
      <c r="F257" s="5">
        <v>0.11764705882352941</v>
      </c>
      <c r="G257" s="5">
        <v>9.2491574380461586E-2</v>
      </c>
    </row>
    <row r="258" spans="1:7" x14ac:dyDescent="0.25">
      <c r="A258">
        <v>202320</v>
      </c>
      <c r="B258" t="s">
        <v>11</v>
      </c>
      <c r="C258" t="s">
        <v>57</v>
      </c>
      <c r="D258">
        <v>19</v>
      </c>
      <c r="E258">
        <v>49536.38</v>
      </c>
      <c r="F258" s="5">
        <v>-0.17391304347826086</v>
      </c>
      <c r="G258" s="5">
        <v>-0.10728355946324251</v>
      </c>
    </row>
    <row r="259" spans="1:7" x14ac:dyDescent="0.25">
      <c r="A259">
        <v>202410</v>
      </c>
      <c r="B259" t="s">
        <v>11</v>
      </c>
      <c r="C259" t="s">
        <v>57</v>
      </c>
      <c r="D259">
        <v>44</v>
      </c>
      <c r="E259">
        <v>109638.65</v>
      </c>
      <c r="F259" s="5">
        <v>0.15789473684210525</v>
      </c>
      <c r="G259" s="5">
        <v>0.12603234168210392</v>
      </c>
    </row>
    <row r="260" spans="1:7" x14ac:dyDescent="0.25">
      <c r="A260">
        <v>202420</v>
      </c>
      <c r="B260" t="s">
        <v>11</v>
      </c>
      <c r="C260" t="s">
        <v>57</v>
      </c>
      <c r="D260">
        <v>17</v>
      </c>
      <c r="E260">
        <v>40931.01</v>
      </c>
      <c r="F260" s="5">
        <v>-0.10526315789473684</v>
      </c>
      <c r="G260" s="5">
        <v>-0.17371818449390117</v>
      </c>
    </row>
    <row r="261" spans="1:7" x14ac:dyDescent="0.25">
      <c r="A261" s="2">
        <v>202510</v>
      </c>
      <c r="B261" s="2" t="s">
        <v>11</v>
      </c>
      <c r="C261" s="2" t="s">
        <v>57</v>
      </c>
      <c r="D261" s="2">
        <v>42</v>
      </c>
      <c r="E261" s="2">
        <v>103782.89</v>
      </c>
      <c r="F261" s="6">
        <v>-4.5454545454545456E-2</v>
      </c>
      <c r="G261" s="6">
        <v>-5.3409632460815551E-2</v>
      </c>
    </row>
    <row r="262" spans="1:7" x14ac:dyDescent="0.25">
      <c r="A262" s="3">
        <v>202510</v>
      </c>
      <c r="B262" s="3" t="s">
        <v>11</v>
      </c>
      <c r="C262" s="3" t="s">
        <v>58</v>
      </c>
      <c r="D262" s="3">
        <v>20</v>
      </c>
      <c r="E262" s="3">
        <v>45982.68</v>
      </c>
      <c r="F262" s="6"/>
      <c r="G262" s="6"/>
    </row>
    <row r="263" spans="1:7" x14ac:dyDescent="0.25">
      <c r="A263">
        <v>202110</v>
      </c>
      <c r="B263" t="s">
        <v>11</v>
      </c>
      <c r="C263" t="s">
        <v>59</v>
      </c>
      <c r="D263">
        <v>14</v>
      </c>
      <c r="E263">
        <v>28949.87</v>
      </c>
      <c r="F263" s="5"/>
      <c r="G263" s="5"/>
    </row>
    <row r="264" spans="1:7" x14ac:dyDescent="0.25">
      <c r="A264">
        <v>202120</v>
      </c>
      <c r="B264" t="s">
        <v>11</v>
      </c>
      <c r="C264" t="s">
        <v>59</v>
      </c>
      <c r="D264">
        <v>12</v>
      </c>
      <c r="E264">
        <v>28163.91</v>
      </c>
      <c r="F264" s="5"/>
      <c r="G264" s="5"/>
    </row>
    <row r="265" spans="1:7" x14ac:dyDescent="0.25">
      <c r="A265">
        <v>202210</v>
      </c>
      <c r="B265" t="s">
        <v>11</v>
      </c>
      <c r="C265" t="s">
        <v>59</v>
      </c>
      <c r="D265">
        <v>11</v>
      </c>
      <c r="E265">
        <v>26536.04</v>
      </c>
      <c r="F265" s="5">
        <v>-0.21428571428571427</v>
      </c>
      <c r="G265" s="5">
        <v>-8.3379649027784858E-2</v>
      </c>
    </row>
    <row r="266" spans="1:7" x14ac:dyDescent="0.25">
      <c r="A266">
        <v>202220</v>
      </c>
      <c r="B266" t="s">
        <v>11</v>
      </c>
      <c r="C266" t="s">
        <v>59</v>
      </c>
      <c r="D266">
        <v>8</v>
      </c>
      <c r="E266">
        <v>13118.51</v>
      </c>
      <c r="F266" s="5">
        <v>-0.33333333333333331</v>
      </c>
      <c r="G266" s="5">
        <v>-0.53420849590841613</v>
      </c>
    </row>
    <row r="267" spans="1:7" x14ac:dyDescent="0.25">
      <c r="A267">
        <v>202310</v>
      </c>
      <c r="B267" t="s">
        <v>11</v>
      </c>
      <c r="C267" t="s">
        <v>59</v>
      </c>
      <c r="D267">
        <v>9</v>
      </c>
      <c r="E267">
        <v>21154.59</v>
      </c>
      <c r="F267" s="5">
        <v>-0.18181818181818182</v>
      </c>
      <c r="G267" s="5">
        <v>-0.20279777992496245</v>
      </c>
    </row>
    <row r="268" spans="1:7" x14ac:dyDescent="0.25">
      <c r="A268">
        <v>202320</v>
      </c>
      <c r="B268" t="s">
        <v>11</v>
      </c>
      <c r="C268" t="s">
        <v>59</v>
      </c>
      <c r="D268">
        <v>4</v>
      </c>
      <c r="E268">
        <v>8221.07</v>
      </c>
      <c r="F268" s="5">
        <v>-0.5</v>
      </c>
      <c r="G268" s="5">
        <v>-0.37332288499227428</v>
      </c>
    </row>
    <row r="269" spans="1:7" x14ac:dyDescent="0.25">
      <c r="A269">
        <v>202410</v>
      </c>
      <c r="B269" t="s">
        <v>11</v>
      </c>
      <c r="C269" t="s">
        <v>59</v>
      </c>
      <c r="D269">
        <v>10</v>
      </c>
      <c r="E269">
        <v>21564.33</v>
      </c>
      <c r="F269" s="5">
        <v>0.1111111111111111</v>
      </c>
      <c r="G269" s="5">
        <v>1.9368846193663011E-2</v>
      </c>
    </row>
    <row r="270" spans="1:7" x14ac:dyDescent="0.25">
      <c r="A270">
        <v>202420</v>
      </c>
      <c r="B270" t="s">
        <v>11</v>
      </c>
      <c r="C270" t="s">
        <v>59</v>
      </c>
      <c r="D270">
        <v>6</v>
      </c>
      <c r="E270">
        <v>14174.66</v>
      </c>
      <c r="F270" s="5">
        <v>0.5</v>
      </c>
      <c r="G270" s="5">
        <v>0.7241867542789443</v>
      </c>
    </row>
    <row r="271" spans="1:7" x14ac:dyDescent="0.25">
      <c r="A271" s="2">
        <v>202510</v>
      </c>
      <c r="B271" s="2" t="s">
        <v>11</v>
      </c>
      <c r="C271" s="2" t="s">
        <v>59</v>
      </c>
      <c r="D271" s="2">
        <v>6</v>
      </c>
      <c r="E271" s="2">
        <v>12799.31</v>
      </c>
      <c r="F271" s="6">
        <v>-0.4</v>
      </c>
      <c r="G271" s="6">
        <v>-0.40645918514509849</v>
      </c>
    </row>
    <row r="272" spans="1:7" x14ac:dyDescent="0.25">
      <c r="A272">
        <v>202110</v>
      </c>
      <c r="B272" t="s">
        <v>11</v>
      </c>
      <c r="C272" t="s">
        <v>60</v>
      </c>
      <c r="D272">
        <v>54</v>
      </c>
      <c r="E272">
        <v>126790.31</v>
      </c>
      <c r="F272" s="5"/>
      <c r="G272" s="5"/>
    </row>
    <row r="273" spans="1:7" x14ac:dyDescent="0.25">
      <c r="A273">
        <v>202120</v>
      </c>
      <c r="B273" t="s">
        <v>11</v>
      </c>
      <c r="C273" t="s">
        <v>60</v>
      </c>
      <c r="D273">
        <v>34</v>
      </c>
      <c r="E273">
        <v>79827.539999999994</v>
      </c>
      <c r="F273" s="5"/>
      <c r="G273" s="5"/>
    </row>
    <row r="274" spans="1:7" x14ac:dyDescent="0.25">
      <c r="A274">
        <v>202210</v>
      </c>
      <c r="B274" t="s">
        <v>11</v>
      </c>
      <c r="C274" t="s">
        <v>60</v>
      </c>
      <c r="D274">
        <v>95</v>
      </c>
      <c r="E274">
        <v>231868.32</v>
      </c>
      <c r="F274" s="5">
        <v>0.7592592592592593</v>
      </c>
      <c r="G274" s="5">
        <v>0.82875426363418481</v>
      </c>
    </row>
    <row r="275" spans="1:7" x14ac:dyDescent="0.25">
      <c r="A275">
        <v>202220</v>
      </c>
      <c r="B275" t="s">
        <v>11</v>
      </c>
      <c r="C275" t="s">
        <v>60</v>
      </c>
      <c r="D275">
        <v>71</v>
      </c>
      <c r="E275">
        <v>166085.31</v>
      </c>
      <c r="F275" s="5">
        <v>1.088235294117647</v>
      </c>
      <c r="G275" s="5">
        <v>1.0805515239477506</v>
      </c>
    </row>
    <row r="276" spans="1:7" x14ac:dyDescent="0.25">
      <c r="A276">
        <v>202310</v>
      </c>
      <c r="B276" t="s">
        <v>11</v>
      </c>
      <c r="C276" t="s">
        <v>60</v>
      </c>
      <c r="D276">
        <v>122</v>
      </c>
      <c r="E276">
        <v>292810.19</v>
      </c>
      <c r="F276" s="5">
        <v>0.28421052631578947</v>
      </c>
      <c r="G276" s="5">
        <v>0.26282965262352354</v>
      </c>
    </row>
    <row r="277" spans="1:7" x14ac:dyDescent="0.25">
      <c r="A277">
        <v>202320</v>
      </c>
      <c r="B277" t="s">
        <v>11</v>
      </c>
      <c r="C277" t="s">
        <v>60</v>
      </c>
      <c r="D277">
        <v>84</v>
      </c>
      <c r="E277">
        <v>208561.14</v>
      </c>
      <c r="F277" s="5">
        <v>0.18309859154929578</v>
      </c>
      <c r="G277" s="5">
        <v>0.25574706155529359</v>
      </c>
    </row>
    <row r="278" spans="1:7" x14ac:dyDescent="0.25">
      <c r="A278">
        <v>202410</v>
      </c>
      <c r="B278" t="s">
        <v>11</v>
      </c>
      <c r="C278" t="s">
        <v>60</v>
      </c>
      <c r="D278">
        <v>135</v>
      </c>
      <c r="E278">
        <v>322827.65999999997</v>
      </c>
      <c r="F278" s="5">
        <v>0.10655737704918032</v>
      </c>
      <c r="G278" s="5">
        <v>0.10251511397195559</v>
      </c>
    </row>
    <row r="279" spans="1:7" x14ac:dyDescent="0.25">
      <c r="A279">
        <v>202420</v>
      </c>
      <c r="B279" t="s">
        <v>11</v>
      </c>
      <c r="C279" t="s">
        <v>60</v>
      </c>
      <c r="D279">
        <v>67</v>
      </c>
      <c r="E279">
        <v>157268.49</v>
      </c>
      <c r="F279" s="5">
        <v>-0.20238095238095238</v>
      </c>
      <c r="G279" s="5">
        <v>-0.24593579609317451</v>
      </c>
    </row>
    <row r="280" spans="1:7" x14ac:dyDescent="0.25">
      <c r="A280" s="2">
        <v>202510</v>
      </c>
      <c r="B280" s="2" t="s">
        <v>11</v>
      </c>
      <c r="C280" s="2" t="s">
        <v>60</v>
      </c>
      <c r="D280" s="2">
        <v>156</v>
      </c>
      <c r="E280" s="2">
        <v>360159.69</v>
      </c>
      <c r="F280" s="6">
        <v>0.15555555555555556</v>
      </c>
      <c r="G280" s="6">
        <v>0.11564074156470988</v>
      </c>
    </row>
    <row r="281" spans="1:7" x14ac:dyDescent="0.25">
      <c r="A281">
        <v>202110</v>
      </c>
      <c r="B281" t="s">
        <v>11</v>
      </c>
      <c r="C281" t="s">
        <v>61</v>
      </c>
      <c r="D281">
        <v>14</v>
      </c>
      <c r="E281">
        <v>38435.64</v>
      </c>
      <c r="F281" s="5"/>
      <c r="G281" s="5"/>
    </row>
    <row r="282" spans="1:7" x14ac:dyDescent="0.25">
      <c r="A282">
        <v>202120</v>
      </c>
      <c r="B282" t="s">
        <v>11</v>
      </c>
      <c r="C282" t="s">
        <v>61</v>
      </c>
      <c r="D282">
        <v>5</v>
      </c>
      <c r="E282">
        <v>14266.11</v>
      </c>
      <c r="F282" s="5"/>
      <c r="G282" s="5"/>
    </row>
    <row r="283" spans="1:7" x14ac:dyDescent="0.25">
      <c r="A283">
        <v>202210</v>
      </c>
      <c r="B283" t="s">
        <v>11</v>
      </c>
      <c r="C283" t="s">
        <v>61</v>
      </c>
      <c r="D283">
        <v>18</v>
      </c>
      <c r="E283">
        <v>44135.47</v>
      </c>
      <c r="F283" s="5">
        <v>0.2857142857142857</v>
      </c>
      <c r="G283" s="5">
        <v>0.14829543621492974</v>
      </c>
    </row>
    <row r="284" spans="1:7" x14ac:dyDescent="0.25">
      <c r="A284">
        <v>202220</v>
      </c>
      <c r="B284" t="s">
        <v>11</v>
      </c>
      <c r="C284" t="s">
        <v>61</v>
      </c>
      <c r="D284">
        <v>7</v>
      </c>
      <c r="E284">
        <v>17302.09</v>
      </c>
      <c r="F284" s="5">
        <v>0.4</v>
      </c>
      <c r="G284" s="5">
        <v>0.21281064004132869</v>
      </c>
    </row>
    <row r="285" spans="1:7" x14ac:dyDescent="0.25">
      <c r="A285">
        <v>202310</v>
      </c>
      <c r="B285" t="s">
        <v>11</v>
      </c>
      <c r="C285" t="s">
        <v>61</v>
      </c>
      <c r="D285">
        <v>11</v>
      </c>
      <c r="E285">
        <v>29236.7</v>
      </c>
      <c r="F285" s="5">
        <v>-0.3888888888888889</v>
      </c>
      <c r="G285" s="5">
        <v>-0.3375690799259643</v>
      </c>
    </row>
    <row r="286" spans="1:7" x14ac:dyDescent="0.25">
      <c r="A286">
        <v>202320</v>
      </c>
      <c r="B286" t="s">
        <v>11</v>
      </c>
      <c r="C286" t="s">
        <v>61</v>
      </c>
      <c r="D286">
        <v>7</v>
      </c>
      <c r="E286">
        <v>18722.23</v>
      </c>
      <c r="F286" s="5">
        <v>0</v>
      </c>
      <c r="G286" s="5">
        <v>8.2079101426475037E-2</v>
      </c>
    </row>
    <row r="287" spans="1:7" x14ac:dyDescent="0.25">
      <c r="A287">
        <v>202410</v>
      </c>
      <c r="B287" t="s">
        <v>11</v>
      </c>
      <c r="C287" t="s">
        <v>61</v>
      </c>
      <c r="D287">
        <v>12</v>
      </c>
      <c r="E287">
        <v>29208.07</v>
      </c>
      <c r="F287" s="5">
        <v>9.0909090909090912E-2</v>
      </c>
      <c r="G287" s="5">
        <v>-9.7924868401704076E-4</v>
      </c>
    </row>
    <row r="288" spans="1:7" x14ac:dyDescent="0.25">
      <c r="A288">
        <v>202420</v>
      </c>
      <c r="B288" t="s">
        <v>11</v>
      </c>
      <c r="C288" t="s">
        <v>61</v>
      </c>
      <c r="D288">
        <v>5</v>
      </c>
      <c r="E288">
        <v>11516.71</v>
      </c>
      <c r="F288" s="5">
        <v>-0.2857142857142857</v>
      </c>
      <c r="G288" s="5">
        <v>-0.38486440984861314</v>
      </c>
    </row>
    <row r="289" spans="1:7" x14ac:dyDescent="0.25">
      <c r="A289" s="2">
        <v>202510</v>
      </c>
      <c r="B289" s="2" t="s">
        <v>11</v>
      </c>
      <c r="C289" s="2" t="s">
        <v>62</v>
      </c>
      <c r="D289" s="2">
        <v>10</v>
      </c>
      <c r="E289" s="2">
        <v>26316.58</v>
      </c>
      <c r="F289" s="6">
        <v>-0.16666666666666666</v>
      </c>
      <c r="G289" s="6">
        <v>-9.8996270551255108E-2</v>
      </c>
    </row>
    <row r="290" spans="1:7" x14ac:dyDescent="0.25">
      <c r="A290">
        <v>202110</v>
      </c>
      <c r="B290" t="s">
        <v>12</v>
      </c>
      <c r="C290" t="s">
        <v>63</v>
      </c>
      <c r="D290">
        <v>367</v>
      </c>
      <c r="E290">
        <v>1603365.41</v>
      </c>
      <c r="F290" s="5"/>
      <c r="G290" s="5"/>
    </row>
    <row r="291" spans="1:7" x14ac:dyDescent="0.25">
      <c r="A291">
        <v>202120</v>
      </c>
      <c r="B291" t="s">
        <v>12</v>
      </c>
      <c r="C291" t="s">
        <v>63</v>
      </c>
      <c r="D291">
        <v>238</v>
      </c>
      <c r="E291">
        <v>1051874.51</v>
      </c>
      <c r="F291" s="5"/>
      <c r="G291" s="5"/>
    </row>
    <row r="292" spans="1:7" x14ac:dyDescent="0.25">
      <c r="A292">
        <v>202210</v>
      </c>
      <c r="B292" t="s">
        <v>12</v>
      </c>
      <c r="C292" t="s">
        <v>63</v>
      </c>
      <c r="D292">
        <v>330</v>
      </c>
      <c r="E292">
        <v>1452222.27</v>
      </c>
      <c r="F292" s="5">
        <v>-0.1008174386920981</v>
      </c>
      <c r="G292" s="5">
        <v>-9.4266184774436351E-2</v>
      </c>
    </row>
    <row r="293" spans="1:7" x14ac:dyDescent="0.25">
      <c r="A293">
        <v>202220</v>
      </c>
      <c r="B293" t="s">
        <v>12</v>
      </c>
      <c r="C293" t="s">
        <v>63</v>
      </c>
      <c r="D293">
        <v>236</v>
      </c>
      <c r="E293">
        <v>1049869.55</v>
      </c>
      <c r="F293" s="5">
        <v>-8.4033613445378148E-3</v>
      </c>
      <c r="G293" s="5">
        <v>-1.9060828843546771E-3</v>
      </c>
    </row>
    <row r="294" spans="1:7" x14ac:dyDescent="0.25">
      <c r="A294">
        <v>202310</v>
      </c>
      <c r="B294" t="s">
        <v>12</v>
      </c>
      <c r="C294" t="s">
        <v>63</v>
      </c>
      <c r="D294">
        <v>419</v>
      </c>
      <c r="E294">
        <v>1846866.41</v>
      </c>
      <c r="F294" s="5">
        <v>0.26969696969696971</v>
      </c>
      <c r="G294" s="5">
        <v>0.27175188547411538</v>
      </c>
    </row>
    <row r="295" spans="1:7" x14ac:dyDescent="0.25">
      <c r="A295">
        <v>202320</v>
      </c>
      <c r="B295" t="s">
        <v>12</v>
      </c>
      <c r="C295" t="s">
        <v>63</v>
      </c>
      <c r="D295">
        <v>181</v>
      </c>
      <c r="E295">
        <v>791034.9</v>
      </c>
      <c r="F295" s="5">
        <v>-0.23305084745762711</v>
      </c>
      <c r="G295" s="5">
        <v>-0.24653982011384176</v>
      </c>
    </row>
    <row r="296" spans="1:7" x14ac:dyDescent="0.25">
      <c r="A296">
        <v>202410</v>
      </c>
      <c r="B296" t="s">
        <v>12</v>
      </c>
      <c r="C296" t="s">
        <v>63</v>
      </c>
      <c r="D296">
        <v>352</v>
      </c>
      <c r="E296">
        <v>1548502.34</v>
      </c>
      <c r="F296" s="5">
        <v>-0.15990453460620524</v>
      </c>
      <c r="G296" s="5">
        <v>-0.16155151687446623</v>
      </c>
    </row>
    <row r="297" spans="1:7" x14ac:dyDescent="0.25">
      <c r="A297">
        <v>202420</v>
      </c>
      <c r="B297" t="s">
        <v>12</v>
      </c>
      <c r="C297" t="s">
        <v>63</v>
      </c>
      <c r="D297">
        <v>168</v>
      </c>
      <c r="E297">
        <v>726213.13</v>
      </c>
      <c r="F297" s="5">
        <v>-7.18232044198895E-2</v>
      </c>
      <c r="G297" s="5">
        <v>-8.1945524780259404E-2</v>
      </c>
    </row>
    <row r="298" spans="1:7" x14ac:dyDescent="0.25">
      <c r="A298" s="2">
        <v>202510</v>
      </c>
      <c r="B298" s="2" t="s">
        <v>12</v>
      </c>
      <c r="C298" s="2" t="s">
        <v>63</v>
      </c>
      <c r="D298" s="2">
        <v>363</v>
      </c>
      <c r="E298" s="2">
        <v>1552438.69</v>
      </c>
      <c r="F298" s="6">
        <v>3.125E-2</v>
      </c>
      <c r="G298" s="6">
        <v>2.5420368431602501E-3</v>
      </c>
    </row>
    <row r="299" spans="1:7" x14ac:dyDescent="0.25">
      <c r="A299">
        <v>202110</v>
      </c>
      <c r="B299" t="s">
        <v>13</v>
      </c>
      <c r="C299" t="s">
        <v>64</v>
      </c>
      <c r="D299">
        <v>113</v>
      </c>
      <c r="E299">
        <v>426584.03</v>
      </c>
      <c r="F299" s="5"/>
      <c r="G299" s="5"/>
    </row>
    <row r="300" spans="1:7" x14ac:dyDescent="0.25">
      <c r="A300">
        <v>202120</v>
      </c>
      <c r="B300" t="s">
        <v>13</v>
      </c>
      <c r="C300" t="s">
        <v>64</v>
      </c>
      <c r="D300">
        <v>75</v>
      </c>
      <c r="E300">
        <v>294051.38</v>
      </c>
      <c r="F300" s="5"/>
      <c r="G300" s="5"/>
    </row>
    <row r="301" spans="1:7" x14ac:dyDescent="0.25">
      <c r="A301">
        <v>202210</v>
      </c>
      <c r="B301" t="s">
        <v>13</v>
      </c>
      <c r="C301" t="s">
        <v>64</v>
      </c>
      <c r="D301">
        <v>120</v>
      </c>
      <c r="E301">
        <v>466414.23</v>
      </c>
      <c r="F301" s="5">
        <v>6.1946902654867256E-2</v>
      </c>
      <c r="G301" s="5">
        <v>9.3370115144722959E-2</v>
      </c>
    </row>
    <row r="302" spans="1:7" x14ac:dyDescent="0.25">
      <c r="A302">
        <v>202220</v>
      </c>
      <c r="B302" t="s">
        <v>13</v>
      </c>
      <c r="C302" t="s">
        <v>64</v>
      </c>
      <c r="D302">
        <v>76</v>
      </c>
      <c r="E302">
        <v>298493.34000000003</v>
      </c>
      <c r="F302" s="5">
        <v>1.3333333333333334E-2</v>
      </c>
      <c r="G302" s="5">
        <v>1.5106067517860386E-2</v>
      </c>
    </row>
    <row r="303" spans="1:7" x14ac:dyDescent="0.25">
      <c r="A303">
        <v>202310</v>
      </c>
      <c r="B303" t="s">
        <v>13</v>
      </c>
      <c r="C303" t="s">
        <v>64</v>
      </c>
      <c r="D303">
        <v>113</v>
      </c>
      <c r="E303">
        <v>422703.08</v>
      </c>
      <c r="F303" s="5">
        <v>-5.8333333333333334E-2</v>
      </c>
      <c r="G303" s="5">
        <v>-9.3717445113113224E-2</v>
      </c>
    </row>
    <row r="304" spans="1:7" x14ac:dyDescent="0.25">
      <c r="A304">
        <v>202320</v>
      </c>
      <c r="B304" t="s">
        <v>13</v>
      </c>
      <c r="C304" t="s">
        <v>64</v>
      </c>
      <c r="D304">
        <v>64</v>
      </c>
      <c r="E304">
        <v>251244.3</v>
      </c>
      <c r="F304" s="5">
        <v>-0.15789473684210525</v>
      </c>
      <c r="G304" s="5">
        <v>-0.15829177294206978</v>
      </c>
    </row>
    <row r="305" spans="1:7" x14ac:dyDescent="0.25">
      <c r="A305">
        <v>202410</v>
      </c>
      <c r="B305" t="s">
        <v>13</v>
      </c>
      <c r="C305" t="s">
        <v>64</v>
      </c>
      <c r="D305">
        <v>93</v>
      </c>
      <c r="E305">
        <v>357573.24</v>
      </c>
      <c r="F305" s="5">
        <v>-0.17699115044247787</v>
      </c>
      <c r="G305" s="5">
        <v>-0.15407940722835525</v>
      </c>
    </row>
    <row r="306" spans="1:7" x14ac:dyDescent="0.25">
      <c r="A306">
        <v>202420</v>
      </c>
      <c r="B306" t="s">
        <v>13</v>
      </c>
      <c r="C306" t="s">
        <v>64</v>
      </c>
      <c r="D306">
        <v>54</v>
      </c>
      <c r="E306">
        <v>206771.68</v>
      </c>
      <c r="F306" s="5">
        <v>-0.15625</v>
      </c>
      <c r="G306" s="5">
        <v>-0.17700946847351362</v>
      </c>
    </row>
    <row r="307" spans="1:7" x14ac:dyDescent="0.25">
      <c r="A307" s="2">
        <v>202510</v>
      </c>
      <c r="B307" s="2" t="s">
        <v>13</v>
      </c>
      <c r="C307" s="2" t="s">
        <v>64</v>
      </c>
      <c r="D307" s="2">
        <v>108</v>
      </c>
      <c r="E307" s="2">
        <v>391655.75</v>
      </c>
      <c r="F307" s="6">
        <v>0.16129032258064516</v>
      </c>
      <c r="G307" s="6">
        <v>9.5316165158220487E-2</v>
      </c>
    </row>
    <row r="308" spans="1:7" x14ac:dyDescent="0.25">
      <c r="A308">
        <v>202110</v>
      </c>
      <c r="B308" t="s">
        <v>14</v>
      </c>
      <c r="C308" t="s">
        <v>65</v>
      </c>
      <c r="D308">
        <v>80</v>
      </c>
      <c r="E308">
        <v>158803.97</v>
      </c>
      <c r="F308" s="5"/>
      <c r="G308" s="5"/>
    </row>
    <row r="309" spans="1:7" x14ac:dyDescent="0.25">
      <c r="A309">
        <v>202120</v>
      </c>
      <c r="B309" t="s">
        <v>14</v>
      </c>
      <c r="C309" t="s">
        <v>65</v>
      </c>
      <c r="D309">
        <v>135</v>
      </c>
      <c r="E309">
        <v>260046.96</v>
      </c>
      <c r="F309" s="5"/>
      <c r="G309" s="5"/>
    </row>
    <row r="310" spans="1:7" x14ac:dyDescent="0.25">
      <c r="A310">
        <v>202210</v>
      </c>
      <c r="B310" t="s">
        <v>14</v>
      </c>
      <c r="C310" t="s">
        <v>65</v>
      </c>
      <c r="D310">
        <v>172</v>
      </c>
      <c r="E310">
        <v>311217.76</v>
      </c>
      <c r="F310" s="5">
        <v>1.1499999999999999</v>
      </c>
      <c r="G310" s="5">
        <v>0.95976057777396884</v>
      </c>
    </row>
    <row r="311" spans="1:7" x14ac:dyDescent="0.25">
      <c r="A311">
        <v>202220</v>
      </c>
      <c r="B311" t="s">
        <v>14</v>
      </c>
      <c r="C311" t="s">
        <v>65</v>
      </c>
      <c r="D311">
        <v>181</v>
      </c>
      <c r="E311">
        <v>319671.26</v>
      </c>
      <c r="F311" s="5">
        <v>0.34074074074074073</v>
      </c>
      <c r="G311" s="5">
        <v>0.22928281876473394</v>
      </c>
    </row>
    <row r="312" spans="1:7" x14ac:dyDescent="0.25">
      <c r="A312">
        <v>202310</v>
      </c>
      <c r="B312" t="s">
        <v>14</v>
      </c>
      <c r="C312" t="s">
        <v>65</v>
      </c>
      <c r="D312">
        <v>170</v>
      </c>
      <c r="E312">
        <v>323321.77</v>
      </c>
      <c r="F312" s="5">
        <v>-1.1627906976744186E-2</v>
      </c>
      <c r="G312" s="5">
        <v>3.8892414109014888E-2</v>
      </c>
    </row>
    <row r="313" spans="1:7" x14ac:dyDescent="0.25">
      <c r="A313">
        <v>202320</v>
      </c>
      <c r="B313" t="s">
        <v>14</v>
      </c>
      <c r="C313" t="s">
        <v>65</v>
      </c>
      <c r="D313">
        <v>132</v>
      </c>
      <c r="E313">
        <v>250237.7</v>
      </c>
      <c r="F313" s="5">
        <v>-0.27071823204419887</v>
      </c>
      <c r="G313" s="5">
        <v>-0.21720301036758824</v>
      </c>
    </row>
    <row r="314" spans="1:7" x14ac:dyDescent="0.25">
      <c r="A314">
        <v>202410</v>
      </c>
      <c r="B314" t="s">
        <v>14</v>
      </c>
      <c r="C314" t="s">
        <v>65</v>
      </c>
      <c r="D314">
        <v>129</v>
      </c>
      <c r="E314">
        <v>233891.46</v>
      </c>
      <c r="F314" s="5">
        <v>-0.2411764705882353</v>
      </c>
      <c r="G314" s="5">
        <v>-0.27659847958892475</v>
      </c>
    </row>
    <row r="315" spans="1:7" x14ac:dyDescent="0.25">
      <c r="A315">
        <v>202420</v>
      </c>
      <c r="B315" t="s">
        <v>14</v>
      </c>
      <c r="C315" t="s">
        <v>65</v>
      </c>
      <c r="D315">
        <v>107</v>
      </c>
      <c r="E315">
        <v>187563</v>
      </c>
      <c r="F315" s="5">
        <v>-0.18939393939393939</v>
      </c>
      <c r="G315" s="5">
        <v>-0.250460662002568</v>
      </c>
    </row>
    <row r="316" spans="1:7" x14ac:dyDescent="0.25">
      <c r="A316" s="2">
        <v>202510</v>
      </c>
      <c r="B316" s="2" t="s">
        <v>14</v>
      </c>
      <c r="C316" s="2" t="s">
        <v>65</v>
      </c>
      <c r="D316" s="2">
        <v>128</v>
      </c>
      <c r="E316" s="2">
        <v>230539.64</v>
      </c>
      <c r="F316" s="6">
        <v>-7.7519379844961239E-3</v>
      </c>
      <c r="G316" s="6">
        <v>-1.4330664317542752E-2</v>
      </c>
    </row>
    <row r="317" spans="1:7" x14ac:dyDescent="0.25">
      <c r="A317">
        <v>202110</v>
      </c>
      <c r="B317" t="s">
        <v>14</v>
      </c>
      <c r="C317" t="s">
        <v>66</v>
      </c>
      <c r="D317">
        <v>45</v>
      </c>
      <c r="E317">
        <v>120146.11</v>
      </c>
      <c r="F317" s="5"/>
      <c r="G317" s="5"/>
    </row>
    <row r="318" spans="1:7" x14ac:dyDescent="0.25">
      <c r="A318">
        <v>202120</v>
      </c>
      <c r="B318" t="s">
        <v>14</v>
      </c>
      <c r="C318" t="s">
        <v>66</v>
      </c>
      <c r="D318">
        <v>53</v>
      </c>
      <c r="E318">
        <v>129348.42</v>
      </c>
      <c r="F318" s="5"/>
      <c r="G318" s="5"/>
    </row>
    <row r="319" spans="1:7" x14ac:dyDescent="0.25">
      <c r="A319">
        <v>202210</v>
      </c>
      <c r="B319" t="s">
        <v>14</v>
      </c>
      <c r="C319" t="s">
        <v>66</v>
      </c>
      <c r="D319">
        <v>51</v>
      </c>
      <c r="E319">
        <v>127140.56</v>
      </c>
      <c r="F319" s="5">
        <v>0.13333333333333333</v>
      </c>
      <c r="G319" s="5">
        <v>5.8216200258168968E-2</v>
      </c>
    </row>
    <row r="320" spans="1:7" x14ac:dyDescent="0.25">
      <c r="A320">
        <v>202220</v>
      </c>
      <c r="B320" t="s">
        <v>14</v>
      </c>
      <c r="C320" t="s">
        <v>66</v>
      </c>
      <c r="D320">
        <v>66</v>
      </c>
      <c r="E320">
        <v>151035.01999999999</v>
      </c>
      <c r="F320" s="5">
        <v>0.24528301886792453</v>
      </c>
      <c r="G320" s="5">
        <v>0.16766033941504652</v>
      </c>
    </row>
    <row r="321" spans="1:7" x14ac:dyDescent="0.25">
      <c r="A321">
        <v>202310</v>
      </c>
      <c r="B321" t="s">
        <v>14</v>
      </c>
      <c r="C321" t="s">
        <v>66</v>
      </c>
      <c r="D321">
        <v>86</v>
      </c>
      <c r="E321">
        <v>206231.72</v>
      </c>
      <c r="F321" s="5">
        <v>0.68627450980392157</v>
      </c>
      <c r="G321" s="5">
        <v>0.62207654268629931</v>
      </c>
    </row>
    <row r="322" spans="1:7" x14ac:dyDescent="0.25">
      <c r="A322">
        <v>202320</v>
      </c>
      <c r="B322" t="s">
        <v>14</v>
      </c>
      <c r="C322" t="s">
        <v>66</v>
      </c>
      <c r="D322">
        <v>53</v>
      </c>
      <c r="E322">
        <v>124386.09</v>
      </c>
      <c r="F322" s="5">
        <v>-0.19696969696969696</v>
      </c>
      <c r="G322" s="5">
        <v>-0.17644205959650944</v>
      </c>
    </row>
    <row r="323" spans="1:7" x14ac:dyDescent="0.25">
      <c r="A323">
        <v>202410</v>
      </c>
      <c r="B323" t="s">
        <v>14</v>
      </c>
      <c r="C323" t="s">
        <v>66</v>
      </c>
      <c r="D323">
        <v>62</v>
      </c>
      <c r="E323">
        <v>143745.07</v>
      </c>
      <c r="F323" s="5">
        <v>-0.27906976744186046</v>
      </c>
      <c r="G323" s="5">
        <v>-0.3029924300684686</v>
      </c>
    </row>
    <row r="324" spans="1:7" x14ac:dyDescent="0.25">
      <c r="A324">
        <v>202420</v>
      </c>
      <c r="B324" t="s">
        <v>14</v>
      </c>
      <c r="C324" t="s">
        <v>66</v>
      </c>
      <c r="D324">
        <v>69</v>
      </c>
      <c r="E324">
        <v>154986.22</v>
      </c>
      <c r="F324" s="5">
        <v>0.30188679245283018</v>
      </c>
      <c r="G324" s="5">
        <v>0.246009260360222</v>
      </c>
    </row>
    <row r="325" spans="1:7" x14ac:dyDescent="0.25">
      <c r="A325" s="2">
        <v>202510</v>
      </c>
      <c r="B325" s="2" t="s">
        <v>14</v>
      </c>
      <c r="C325" s="2" t="s">
        <v>66</v>
      </c>
      <c r="D325" s="2">
        <v>96</v>
      </c>
      <c r="E325" s="2">
        <v>214591.53</v>
      </c>
      <c r="F325" s="6">
        <v>0.54838709677419351</v>
      </c>
      <c r="G325" s="6">
        <v>0.49286184214874285</v>
      </c>
    </row>
    <row r="326" spans="1:7" x14ac:dyDescent="0.25">
      <c r="A326">
        <v>202110</v>
      </c>
      <c r="B326" t="s">
        <v>14</v>
      </c>
      <c r="C326" t="s">
        <v>67</v>
      </c>
      <c r="D326">
        <v>87</v>
      </c>
      <c r="E326">
        <v>269598.07</v>
      </c>
      <c r="F326" s="5"/>
      <c r="G326" s="5"/>
    </row>
    <row r="327" spans="1:7" x14ac:dyDescent="0.25">
      <c r="A327">
        <v>202120</v>
      </c>
      <c r="B327" t="s">
        <v>14</v>
      </c>
      <c r="C327" t="s">
        <v>67</v>
      </c>
      <c r="D327">
        <v>46</v>
      </c>
      <c r="E327">
        <v>138857.06</v>
      </c>
      <c r="F327" s="5"/>
      <c r="G327" s="5"/>
    </row>
    <row r="328" spans="1:7" x14ac:dyDescent="0.25">
      <c r="A328">
        <v>202210</v>
      </c>
      <c r="B328" t="s">
        <v>14</v>
      </c>
      <c r="C328" t="s">
        <v>67</v>
      </c>
      <c r="D328">
        <v>98</v>
      </c>
      <c r="E328">
        <v>287732.3</v>
      </c>
      <c r="F328" s="5">
        <v>0.12643678160919541</v>
      </c>
      <c r="G328" s="5">
        <v>6.7263945917713661E-2</v>
      </c>
    </row>
    <row r="329" spans="1:7" x14ac:dyDescent="0.25">
      <c r="A329">
        <v>202220</v>
      </c>
      <c r="B329" t="s">
        <v>14</v>
      </c>
      <c r="C329" t="s">
        <v>67</v>
      </c>
      <c r="D329">
        <v>60</v>
      </c>
      <c r="E329">
        <v>170487.11</v>
      </c>
      <c r="F329" s="5">
        <v>0.30434782608695654</v>
      </c>
      <c r="G329" s="5">
        <v>0.22778856184914176</v>
      </c>
    </row>
    <row r="330" spans="1:7" x14ac:dyDescent="0.25">
      <c r="A330">
        <v>202310</v>
      </c>
      <c r="B330" t="s">
        <v>14</v>
      </c>
      <c r="C330" t="s">
        <v>67</v>
      </c>
      <c r="D330">
        <v>98</v>
      </c>
      <c r="E330">
        <v>281936.95</v>
      </c>
      <c r="F330" s="5">
        <v>0</v>
      </c>
      <c r="G330" s="5">
        <v>-2.0141464826854603E-2</v>
      </c>
    </row>
    <row r="331" spans="1:7" x14ac:dyDescent="0.25">
      <c r="A331">
        <v>202320</v>
      </c>
      <c r="B331" t="s">
        <v>14</v>
      </c>
      <c r="C331" t="s">
        <v>67</v>
      </c>
      <c r="D331">
        <v>54</v>
      </c>
      <c r="E331">
        <v>162343.10999999999</v>
      </c>
      <c r="F331" s="5">
        <v>-0.1</v>
      </c>
      <c r="G331" s="5">
        <v>-4.7769007287413109E-2</v>
      </c>
    </row>
    <row r="332" spans="1:7" x14ac:dyDescent="0.25">
      <c r="A332">
        <v>202410</v>
      </c>
      <c r="B332" t="s">
        <v>14</v>
      </c>
      <c r="C332" t="s">
        <v>67</v>
      </c>
      <c r="D332">
        <v>74</v>
      </c>
      <c r="E332">
        <v>211949.61</v>
      </c>
      <c r="F332" s="5">
        <v>-0.24489795918367346</v>
      </c>
      <c r="G332" s="5">
        <v>-0.24823755807814485</v>
      </c>
    </row>
    <row r="333" spans="1:7" x14ac:dyDescent="0.25">
      <c r="A333">
        <v>202420</v>
      </c>
      <c r="B333" t="s">
        <v>14</v>
      </c>
      <c r="C333" t="s">
        <v>67</v>
      </c>
      <c r="D333">
        <v>59</v>
      </c>
      <c r="E333">
        <v>165691.43</v>
      </c>
      <c r="F333" s="5">
        <v>9.2592592592592587E-2</v>
      </c>
      <c r="G333" s="5">
        <v>2.0624959075873361E-2</v>
      </c>
    </row>
    <row r="334" spans="1:7" x14ac:dyDescent="0.25">
      <c r="A334" s="2">
        <v>202510</v>
      </c>
      <c r="B334" s="2" t="s">
        <v>14</v>
      </c>
      <c r="C334" s="2" t="s">
        <v>67</v>
      </c>
      <c r="D334" s="2">
        <v>108</v>
      </c>
      <c r="E334" s="2">
        <v>302560.96000000002</v>
      </c>
      <c r="F334" s="6">
        <v>0.45945945945945948</v>
      </c>
      <c r="G334" s="6">
        <v>0.42751364345515919</v>
      </c>
    </row>
  </sheetData>
  <conditionalFormatting sqref="L2:O7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Q5 U2:W5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:Q19 U6:W19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0:Q25 U20:W25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6:Q29 U26:W29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0:Q41 U30:W41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2:Q75 U42:W75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AFF4E-6C2B-4E03-823B-5AC0612AD30D}">
  <dimension ref="A1:G155"/>
  <sheetViews>
    <sheetView workbookViewId="0">
      <selection activeCell="H15" sqref="H15"/>
    </sheetView>
  </sheetViews>
  <sheetFormatPr baseColWidth="10" defaultColWidth="11.42578125" defaultRowHeight="15" x14ac:dyDescent="0.25"/>
  <sheetData>
    <row r="1" spans="1:7" x14ac:dyDescent="0.2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4" t="s">
        <v>22</v>
      </c>
      <c r="G1" s="4" t="s">
        <v>23</v>
      </c>
    </row>
    <row r="2" spans="1:7" x14ac:dyDescent="0.25">
      <c r="A2">
        <v>202100</v>
      </c>
      <c r="B2" t="s">
        <v>111</v>
      </c>
      <c r="C2" t="s">
        <v>112</v>
      </c>
      <c r="D2">
        <v>18</v>
      </c>
      <c r="E2">
        <v>206506</v>
      </c>
    </row>
    <row r="3" spans="1:7" x14ac:dyDescent="0.25">
      <c r="A3">
        <v>202100</v>
      </c>
      <c r="B3" t="s">
        <v>111</v>
      </c>
      <c r="C3" t="s">
        <v>113</v>
      </c>
      <c r="D3">
        <v>62</v>
      </c>
      <c r="E3">
        <v>609267</v>
      </c>
    </row>
    <row r="4" spans="1:7" x14ac:dyDescent="0.25">
      <c r="A4">
        <v>202200</v>
      </c>
      <c r="B4" t="s">
        <v>111</v>
      </c>
      <c r="C4" t="s">
        <v>113</v>
      </c>
      <c r="D4">
        <v>6</v>
      </c>
      <c r="E4">
        <v>62.5</v>
      </c>
    </row>
    <row r="5" spans="1:7" x14ac:dyDescent="0.25">
      <c r="A5">
        <v>202500</v>
      </c>
      <c r="B5" t="s">
        <v>114</v>
      </c>
      <c r="C5" t="s">
        <v>115</v>
      </c>
      <c r="D5">
        <v>3</v>
      </c>
      <c r="E5">
        <v>8038.5</v>
      </c>
    </row>
    <row r="6" spans="1:7" x14ac:dyDescent="0.25">
      <c r="A6">
        <v>202100</v>
      </c>
      <c r="B6" t="s">
        <v>116</v>
      </c>
      <c r="C6" t="s">
        <v>117</v>
      </c>
      <c r="D6">
        <v>20</v>
      </c>
      <c r="E6">
        <v>186238</v>
      </c>
    </row>
    <row r="7" spans="1:7" x14ac:dyDescent="0.25">
      <c r="A7">
        <v>202100</v>
      </c>
      <c r="B7" t="s">
        <v>116</v>
      </c>
      <c r="C7" t="s">
        <v>118</v>
      </c>
      <c r="D7">
        <v>1</v>
      </c>
      <c r="E7">
        <v>4197.5</v>
      </c>
    </row>
    <row r="8" spans="1:7" x14ac:dyDescent="0.25">
      <c r="A8">
        <v>202100</v>
      </c>
      <c r="B8" t="s">
        <v>116</v>
      </c>
      <c r="C8" t="s">
        <v>119</v>
      </c>
      <c r="D8">
        <v>15</v>
      </c>
      <c r="E8">
        <v>136291.38</v>
      </c>
    </row>
    <row r="9" spans="1:7" x14ac:dyDescent="0.25">
      <c r="A9">
        <v>202100</v>
      </c>
      <c r="B9" t="s">
        <v>116</v>
      </c>
      <c r="C9" t="s">
        <v>120</v>
      </c>
      <c r="D9">
        <v>2</v>
      </c>
      <c r="E9">
        <v>7920</v>
      </c>
    </row>
    <row r="10" spans="1:7" x14ac:dyDescent="0.25">
      <c r="A10">
        <v>202100</v>
      </c>
      <c r="B10" t="s">
        <v>116</v>
      </c>
      <c r="C10" t="s">
        <v>121</v>
      </c>
      <c r="D10">
        <v>23</v>
      </c>
      <c r="E10">
        <v>151761.1</v>
      </c>
    </row>
    <row r="11" spans="1:7" x14ac:dyDescent="0.25">
      <c r="A11">
        <v>202100</v>
      </c>
      <c r="B11" t="s">
        <v>116</v>
      </c>
      <c r="C11" t="s">
        <v>122</v>
      </c>
      <c r="D11">
        <v>52</v>
      </c>
      <c r="E11">
        <v>362043</v>
      </c>
    </row>
    <row r="12" spans="1:7" x14ac:dyDescent="0.25">
      <c r="A12">
        <v>202200</v>
      </c>
      <c r="B12" t="s">
        <v>116</v>
      </c>
      <c r="C12" t="s">
        <v>117</v>
      </c>
      <c r="D12">
        <v>24</v>
      </c>
      <c r="E12">
        <v>205426.17</v>
      </c>
    </row>
    <row r="13" spans="1:7" x14ac:dyDescent="0.25">
      <c r="A13">
        <v>202200</v>
      </c>
      <c r="B13" t="s">
        <v>116</v>
      </c>
      <c r="C13" t="s">
        <v>118</v>
      </c>
      <c r="D13">
        <v>13</v>
      </c>
      <c r="E13">
        <v>121625</v>
      </c>
    </row>
    <row r="14" spans="1:7" x14ac:dyDescent="0.25">
      <c r="A14">
        <v>202200</v>
      </c>
      <c r="B14" t="s">
        <v>116</v>
      </c>
      <c r="C14" t="s">
        <v>119</v>
      </c>
      <c r="D14">
        <v>21</v>
      </c>
      <c r="E14">
        <v>189443.24</v>
      </c>
    </row>
    <row r="15" spans="1:7" x14ac:dyDescent="0.25">
      <c r="A15">
        <v>202200</v>
      </c>
      <c r="B15" t="s">
        <v>116</v>
      </c>
      <c r="C15" t="s">
        <v>123</v>
      </c>
      <c r="D15">
        <v>26</v>
      </c>
      <c r="E15">
        <v>199089</v>
      </c>
    </row>
    <row r="16" spans="1:7" x14ac:dyDescent="0.25">
      <c r="A16">
        <v>202200</v>
      </c>
      <c r="B16" t="s">
        <v>116</v>
      </c>
      <c r="C16" t="s">
        <v>121</v>
      </c>
      <c r="D16">
        <v>25</v>
      </c>
      <c r="E16">
        <v>193584</v>
      </c>
    </row>
    <row r="17" spans="1:5" x14ac:dyDescent="0.25">
      <c r="A17">
        <v>202200</v>
      </c>
      <c r="B17" t="s">
        <v>116</v>
      </c>
      <c r="C17" t="s">
        <v>122</v>
      </c>
      <c r="D17">
        <v>29</v>
      </c>
      <c r="E17">
        <v>199089</v>
      </c>
    </row>
    <row r="18" spans="1:5" x14ac:dyDescent="0.25">
      <c r="A18">
        <v>202300</v>
      </c>
      <c r="B18" t="s">
        <v>116</v>
      </c>
      <c r="C18" t="s">
        <v>117</v>
      </c>
      <c r="D18">
        <v>16</v>
      </c>
      <c r="E18">
        <v>130975</v>
      </c>
    </row>
    <row r="19" spans="1:5" x14ac:dyDescent="0.25">
      <c r="A19">
        <v>202300</v>
      </c>
      <c r="B19" t="s">
        <v>116</v>
      </c>
      <c r="C19" t="s">
        <v>118</v>
      </c>
      <c r="D19">
        <v>21</v>
      </c>
      <c r="E19">
        <v>186377.5</v>
      </c>
    </row>
    <row r="20" spans="1:5" x14ac:dyDescent="0.25">
      <c r="A20">
        <v>202300</v>
      </c>
      <c r="B20" t="s">
        <v>116</v>
      </c>
      <c r="C20" t="s">
        <v>119</v>
      </c>
      <c r="D20">
        <v>21</v>
      </c>
      <c r="E20">
        <v>183825</v>
      </c>
    </row>
    <row r="21" spans="1:5" x14ac:dyDescent="0.25">
      <c r="A21">
        <v>202300</v>
      </c>
      <c r="B21" t="s">
        <v>116</v>
      </c>
      <c r="C21" t="s">
        <v>123</v>
      </c>
      <c r="D21">
        <v>32</v>
      </c>
      <c r="E21">
        <v>215731</v>
      </c>
    </row>
    <row r="22" spans="1:5" x14ac:dyDescent="0.25">
      <c r="A22">
        <v>202300</v>
      </c>
      <c r="B22" t="s">
        <v>116</v>
      </c>
      <c r="C22" t="s">
        <v>121</v>
      </c>
      <c r="D22">
        <v>20</v>
      </c>
      <c r="E22">
        <v>132980</v>
      </c>
    </row>
    <row r="23" spans="1:5" x14ac:dyDescent="0.25">
      <c r="A23">
        <v>202300</v>
      </c>
      <c r="B23" t="s">
        <v>116</v>
      </c>
      <c r="C23" t="s">
        <v>122</v>
      </c>
      <c r="D23">
        <v>21</v>
      </c>
      <c r="E23">
        <v>137387.5</v>
      </c>
    </row>
    <row r="24" spans="1:5" x14ac:dyDescent="0.25">
      <c r="A24">
        <v>202400</v>
      </c>
      <c r="B24" t="s">
        <v>116</v>
      </c>
      <c r="C24" t="s">
        <v>117</v>
      </c>
      <c r="D24">
        <v>14</v>
      </c>
      <c r="E24">
        <v>115717.5</v>
      </c>
    </row>
    <row r="25" spans="1:5" x14ac:dyDescent="0.25">
      <c r="A25">
        <v>202400</v>
      </c>
      <c r="B25" t="s">
        <v>116</v>
      </c>
      <c r="C25" t="s">
        <v>118</v>
      </c>
      <c r="D25">
        <v>17</v>
      </c>
      <c r="E25">
        <v>101042.5</v>
      </c>
    </row>
    <row r="26" spans="1:5" x14ac:dyDescent="0.25">
      <c r="A26">
        <v>202400</v>
      </c>
      <c r="B26" t="s">
        <v>116</v>
      </c>
      <c r="C26" t="s">
        <v>124</v>
      </c>
      <c r="D26">
        <v>9</v>
      </c>
      <c r="E26">
        <v>27472.5</v>
      </c>
    </row>
    <row r="27" spans="1:5" x14ac:dyDescent="0.25">
      <c r="A27">
        <v>202400</v>
      </c>
      <c r="B27" t="s">
        <v>116</v>
      </c>
      <c r="C27" t="s">
        <v>119</v>
      </c>
      <c r="D27">
        <v>18</v>
      </c>
      <c r="E27">
        <v>123250</v>
      </c>
    </row>
    <row r="28" spans="1:5" x14ac:dyDescent="0.25">
      <c r="A28">
        <v>202400</v>
      </c>
      <c r="B28" t="s">
        <v>116</v>
      </c>
      <c r="C28" t="s">
        <v>123</v>
      </c>
      <c r="D28">
        <v>26</v>
      </c>
      <c r="E28">
        <v>161172</v>
      </c>
    </row>
    <row r="29" spans="1:5" x14ac:dyDescent="0.25">
      <c r="A29">
        <v>202400</v>
      </c>
      <c r="B29" t="s">
        <v>116</v>
      </c>
      <c r="C29" t="s">
        <v>121</v>
      </c>
      <c r="D29">
        <v>22</v>
      </c>
      <c r="E29">
        <v>80459.5</v>
      </c>
    </row>
    <row r="30" spans="1:5" x14ac:dyDescent="0.25">
      <c r="A30">
        <v>202400</v>
      </c>
      <c r="B30" t="s">
        <v>116</v>
      </c>
      <c r="C30" t="s">
        <v>122</v>
      </c>
      <c r="D30">
        <v>13</v>
      </c>
      <c r="E30">
        <v>52021.36</v>
      </c>
    </row>
    <row r="31" spans="1:5" x14ac:dyDescent="0.25">
      <c r="A31">
        <v>202500</v>
      </c>
      <c r="B31" t="s">
        <v>116</v>
      </c>
      <c r="C31" t="s">
        <v>117</v>
      </c>
      <c r="D31">
        <v>17</v>
      </c>
      <c r="E31">
        <v>101887</v>
      </c>
    </row>
    <row r="32" spans="1:5" x14ac:dyDescent="0.25">
      <c r="A32">
        <v>202500</v>
      </c>
      <c r="B32" t="s">
        <v>116</v>
      </c>
      <c r="C32" t="s">
        <v>118</v>
      </c>
      <c r="D32">
        <v>11</v>
      </c>
      <c r="E32">
        <v>51727.5</v>
      </c>
    </row>
    <row r="33" spans="1:5" x14ac:dyDescent="0.25">
      <c r="A33">
        <v>202500</v>
      </c>
      <c r="B33" t="s">
        <v>116</v>
      </c>
      <c r="C33" t="s">
        <v>123</v>
      </c>
      <c r="D33">
        <v>11</v>
      </c>
      <c r="E33">
        <v>40651.93</v>
      </c>
    </row>
    <row r="34" spans="1:5" x14ac:dyDescent="0.25">
      <c r="A34">
        <v>202500</v>
      </c>
      <c r="B34" t="s">
        <v>116</v>
      </c>
      <c r="C34" t="s">
        <v>119</v>
      </c>
      <c r="D34">
        <v>5</v>
      </c>
      <c r="E34">
        <v>15345</v>
      </c>
    </row>
    <row r="35" spans="1:5" x14ac:dyDescent="0.25">
      <c r="A35">
        <v>202500</v>
      </c>
      <c r="B35" t="s">
        <v>116</v>
      </c>
      <c r="C35" t="s">
        <v>125</v>
      </c>
      <c r="D35">
        <v>8</v>
      </c>
      <c r="E35">
        <v>34551</v>
      </c>
    </row>
    <row r="36" spans="1:5" x14ac:dyDescent="0.25">
      <c r="A36">
        <v>202200</v>
      </c>
      <c r="B36" t="s">
        <v>126</v>
      </c>
      <c r="C36" t="s">
        <v>127</v>
      </c>
      <c r="D36">
        <v>49</v>
      </c>
      <c r="E36">
        <v>378695</v>
      </c>
    </row>
    <row r="37" spans="1:5" x14ac:dyDescent="0.25">
      <c r="A37">
        <v>202300</v>
      </c>
      <c r="B37" t="s">
        <v>126</v>
      </c>
      <c r="C37" t="s">
        <v>127</v>
      </c>
      <c r="D37">
        <v>89</v>
      </c>
      <c r="E37">
        <v>698912</v>
      </c>
    </row>
    <row r="38" spans="1:5" x14ac:dyDescent="0.25">
      <c r="A38">
        <v>202300</v>
      </c>
      <c r="B38" t="s">
        <v>126</v>
      </c>
      <c r="C38" t="s">
        <v>128</v>
      </c>
      <c r="D38">
        <v>43</v>
      </c>
      <c r="E38">
        <v>197690</v>
      </c>
    </row>
    <row r="39" spans="1:5" x14ac:dyDescent="0.25">
      <c r="A39">
        <v>202400</v>
      </c>
      <c r="B39" t="s">
        <v>126</v>
      </c>
      <c r="C39" t="s">
        <v>127</v>
      </c>
      <c r="D39">
        <v>68</v>
      </c>
      <c r="E39">
        <v>392155.95</v>
      </c>
    </row>
    <row r="40" spans="1:5" x14ac:dyDescent="0.25">
      <c r="A40">
        <v>202400</v>
      </c>
      <c r="B40" t="s">
        <v>126</v>
      </c>
      <c r="C40" t="s">
        <v>128</v>
      </c>
      <c r="D40">
        <v>118</v>
      </c>
      <c r="E40">
        <v>434800.5</v>
      </c>
    </row>
    <row r="41" spans="1:5" x14ac:dyDescent="0.25">
      <c r="A41">
        <v>202500</v>
      </c>
      <c r="B41" t="s">
        <v>126</v>
      </c>
      <c r="C41" t="s">
        <v>127</v>
      </c>
      <c r="D41">
        <v>36</v>
      </c>
      <c r="E41">
        <v>159310</v>
      </c>
    </row>
    <row r="42" spans="1:5" x14ac:dyDescent="0.25">
      <c r="A42">
        <v>202500</v>
      </c>
      <c r="B42" t="s">
        <v>126</v>
      </c>
      <c r="C42" t="s">
        <v>128</v>
      </c>
      <c r="D42">
        <v>19</v>
      </c>
      <c r="E42">
        <v>52337.5</v>
      </c>
    </row>
    <row r="43" spans="1:5" x14ac:dyDescent="0.25">
      <c r="A43">
        <v>202200</v>
      </c>
      <c r="B43" t="s">
        <v>129</v>
      </c>
      <c r="C43" t="s">
        <v>130</v>
      </c>
      <c r="D43">
        <v>19</v>
      </c>
      <c r="E43">
        <v>139095</v>
      </c>
    </row>
    <row r="44" spans="1:5" x14ac:dyDescent="0.25">
      <c r="A44">
        <v>202200</v>
      </c>
      <c r="B44" t="s">
        <v>129</v>
      </c>
      <c r="C44" t="s">
        <v>131</v>
      </c>
      <c r="D44">
        <v>11</v>
      </c>
      <c r="E44">
        <v>88605</v>
      </c>
    </row>
    <row r="45" spans="1:5" x14ac:dyDescent="0.25">
      <c r="A45">
        <v>202300</v>
      </c>
      <c r="B45" t="s">
        <v>129</v>
      </c>
      <c r="C45" t="s">
        <v>130</v>
      </c>
      <c r="D45">
        <v>27</v>
      </c>
      <c r="E45">
        <v>183660</v>
      </c>
    </row>
    <row r="46" spans="1:5" x14ac:dyDescent="0.25">
      <c r="A46">
        <v>202300</v>
      </c>
      <c r="B46" t="s">
        <v>129</v>
      </c>
      <c r="C46" t="s">
        <v>131</v>
      </c>
      <c r="D46">
        <v>17</v>
      </c>
      <c r="E46">
        <v>104445</v>
      </c>
    </row>
    <row r="47" spans="1:5" x14ac:dyDescent="0.25">
      <c r="A47">
        <v>202400</v>
      </c>
      <c r="B47" t="s">
        <v>129</v>
      </c>
      <c r="C47" t="s">
        <v>130</v>
      </c>
      <c r="D47">
        <v>13</v>
      </c>
      <c r="E47">
        <v>84397.5</v>
      </c>
    </row>
    <row r="48" spans="1:5" x14ac:dyDescent="0.25">
      <c r="A48">
        <v>202400</v>
      </c>
      <c r="B48" t="s">
        <v>129</v>
      </c>
      <c r="C48" t="s">
        <v>131</v>
      </c>
      <c r="D48">
        <v>17</v>
      </c>
      <c r="E48">
        <v>111622.5</v>
      </c>
    </row>
    <row r="49" spans="1:5" x14ac:dyDescent="0.25">
      <c r="A49">
        <v>202500</v>
      </c>
      <c r="B49" t="s">
        <v>129</v>
      </c>
      <c r="C49" t="s">
        <v>130</v>
      </c>
      <c r="D49">
        <v>7</v>
      </c>
      <c r="E49">
        <v>31432.5</v>
      </c>
    </row>
    <row r="50" spans="1:5" x14ac:dyDescent="0.25">
      <c r="A50">
        <v>202100</v>
      </c>
      <c r="B50" t="s">
        <v>132</v>
      </c>
      <c r="C50" t="s">
        <v>133</v>
      </c>
      <c r="D50">
        <v>23</v>
      </c>
      <c r="E50">
        <v>247975</v>
      </c>
    </row>
    <row r="51" spans="1:5" x14ac:dyDescent="0.25">
      <c r="A51">
        <v>202100</v>
      </c>
      <c r="B51" t="s">
        <v>132</v>
      </c>
      <c r="C51" t="s">
        <v>134</v>
      </c>
      <c r="D51">
        <v>28</v>
      </c>
      <c r="E51">
        <v>290432.19</v>
      </c>
    </row>
    <row r="52" spans="1:5" x14ac:dyDescent="0.25">
      <c r="A52">
        <v>202100</v>
      </c>
      <c r="B52" t="s">
        <v>132</v>
      </c>
      <c r="C52" t="s">
        <v>135</v>
      </c>
      <c r="D52">
        <v>20</v>
      </c>
      <c r="E52">
        <v>181350</v>
      </c>
    </row>
    <row r="53" spans="1:5" x14ac:dyDescent="0.25">
      <c r="A53">
        <v>202200</v>
      </c>
      <c r="B53" t="s">
        <v>132</v>
      </c>
      <c r="C53" t="s">
        <v>136</v>
      </c>
      <c r="D53">
        <v>8</v>
      </c>
      <c r="E53">
        <v>213650</v>
      </c>
    </row>
    <row r="54" spans="1:5" x14ac:dyDescent="0.25">
      <c r="A54">
        <v>202200</v>
      </c>
      <c r="B54" t="s">
        <v>132</v>
      </c>
      <c r="C54" t="s">
        <v>137</v>
      </c>
      <c r="D54">
        <v>15</v>
      </c>
      <c r="E54">
        <v>360300</v>
      </c>
    </row>
    <row r="55" spans="1:5" x14ac:dyDescent="0.25">
      <c r="A55">
        <v>202200</v>
      </c>
      <c r="B55" t="s">
        <v>132</v>
      </c>
      <c r="C55" t="s">
        <v>138</v>
      </c>
      <c r="D55">
        <v>9</v>
      </c>
      <c r="E55">
        <v>170300</v>
      </c>
    </row>
    <row r="56" spans="1:5" x14ac:dyDescent="0.25">
      <c r="A56">
        <v>202200</v>
      </c>
      <c r="B56" t="s">
        <v>132</v>
      </c>
      <c r="C56" t="s">
        <v>133</v>
      </c>
      <c r="D56">
        <v>20</v>
      </c>
      <c r="E56">
        <v>188175</v>
      </c>
    </row>
    <row r="57" spans="1:5" x14ac:dyDescent="0.25">
      <c r="A57">
        <v>202200</v>
      </c>
      <c r="B57" t="s">
        <v>132</v>
      </c>
      <c r="C57" t="s">
        <v>134</v>
      </c>
      <c r="D57">
        <v>21</v>
      </c>
      <c r="E57">
        <v>205075</v>
      </c>
    </row>
    <row r="58" spans="1:5" x14ac:dyDescent="0.25">
      <c r="A58">
        <v>202200</v>
      </c>
      <c r="B58" t="s">
        <v>132</v>
      </c>
      <c r="C58" t="s">
        <v>139</v>
      </c>
      <c r="D58">
        <v>41</v>
      </c>
      <c r="E58">
        <v>278100</v>
      </c>
    </row>
    <row r="59" spans="1:5" x14ac:dyDescent="0.25">
      <c r="A59">
        <v>202200</v>
      </c>
      <c r="B59" t="s">
        <v>132</v>
      </c>
      <c r="C59" t="s">
        <v>135</v>
      </c>
      <c r="D59">
        <v>20</v>
      </c>
      <c r="E59">
        <v>182000</v>
      </c>
    </row>
    <row r="60" spans="1:5" x14ac:dyDescent="0.25">
      <c r="A60">
        <v>202300</v>
      </c>
      <c r="B60" t="s">
        <v>132</v>
      </c>
      <c r="C60" t="s">
        <v>136</v>
      </c>
      <c r="D60">
        <v>31</v>
      </c>
      <c r="E60">
        <v>590199.9</v>
      </c>
    </row>
    <row r="61" spans="1:5" x14ac:dyDescent="0.25">
      <c r="A61">
        <v>202300</v>
      </c>
      <c r="B61" t="s">
        <v>132</v>
      </c>
      <c r="C61" t="s">
        <v>137</v>
      </c>
      <c r="D61">
        <v>31</v>
      </c>
      <c r="E61">
        <v>525945</v>
      </c>
    </row>
    <row r="62" spans="1:5" x14ac:dyDescent="0.25">
      <c r="A62">
        <v>202300</v>
      </c>
      <c r="B62" t="s">
        <v>132</v>
      </c>
      <c r="C62" t="s">
        <v>138</v>
      </c>
      <c r="D62">
        <v>31</v>
      </c>
      <c r="E62">
        <v>649750</v>
      </c>
    </row>
    <row r="63" spans="1:5" x14ac:dyDescent="0.25">
      <c r="A63">
        <v>202300</v>
      </c>
      <c r="B63" t="s">
        <v>132</v>
      </c>
      <c r="C63" t="s">
        <v>140</v>
      </c>
      <c r="D63">
        <v>29</v>
      </c>
      <c r="E63">
        <v>607400</v>
      </c>
    </row>
    <row r="64" spans="1:5" x14ac:dyDescent="0.25">
      <c r="A64">
        <v>202300</v>
      </c>
      <c r="B64" t="s">
        <v>132</v>
      </c>
      <c r="C64" t="s">
        <v>141</v>
      </c>
      <c r="D64">
        <v>25</v>
      </c>
      <c r="E64">
        <v>493125</v>
      </c>
    </row>
    <row r="65" spans="1:5" x14ac:dyDescent="0.25">
      <c r="A65">
        <v>202300</v>
      </c>
      <c r="B65" t="s">
        <v>132</v>
      </c>
      <c r="C65" t="s">
        <v>133</v>
      </c>
      <c r="D65">
        <v>17</v>
      </c>
      <c r="E65">
        <v>151450</v>
      </c>
    </row>
    <row r="66" spans="1:5" x14ac:dyDescent="0.25">
      <c r="A66">
        <v>202300</v>
      </c>
      <c r="B66" t="s">
        <v>132</v>
      </c>
      <c r="C66" t="s">
        <v>134</v>
      </c>
      <c r="D66">
        <v>20</v>
      </c>
      <c r="E66">
        <v>199956.25</v>
      </c>
    </row>
    <row r="67" spans="1:5" x14ac:dyDescent="0.25">
      <c r="A67">
        <v>202300</v>
      </c>
      <c r="B67" t="s">
        <v>132</v>
      </c>
      <c r="C67" t="s">
        <v>139</v>
      </c>
      <c r="D67">
        <v>105</v>
      </c>
      <c r="E67">
        <v>545575</v>
      </c>
    </row>
    <row r="68" spans="1:5" x14ac:dyDescent="0.25">
      <c r="A68">
        <v>202400</v>
      </c>
      <c r="B68" t="s">
        <v>132</v>
      </c>
      <c r="C68" t="s">
        <v>136</v>
      </c>
      <c r="D68">
        <v>16</v>
      </c>
      <c r="E68">
        <v>212030</v>
      </c>
    </row>
    <row r="69" spans="1:5" x14ac:dyDescent="0.25">
      <c r="A69">
        <v>202400</v>
      </c>
      <c r="B69" t="s">
        <v>132</v>
      </c>
      <c r="C69" t="s">
        <v>142</v>
      </c>
      <c r="D69">
        <v>24</v>
      </c>
      <c r="E69">
        <v>354750</v>
      </c>
    </row>
    <row r="70" spans="1:5" x14ac:dyDescent="0.25">
      <c r="A70">
        <v>202400</v>
      </c>
      <c r="B70" t="s">
        <v>132</v>
      </c>
      <c r="C70" t="s">
        <v>143</v>
      </c>
      <c r="D70">
        <v>20</v>
      </c>
      <c r="E70">
        <v>239063</v>
      </c>
    </row>
    <row r="71" spans="1:5" x14ac:dyDescent="0.25">
      <c r="A71">
        <v>202400</v>
      </c>
      <c r="B71" t="s">
        <v>132</v>
      </c>
      <c r="C71" t="s">
        <v>137</v>
      </c>
      <c r="D71">
        <v>31</v>
      </c>
      <c r="E71">
        <v>443950</v>
      </c>
    </row>
    <row r="72" spans="1:5" x14ac:dyDescent="0.25">
      <c r="A72">
        <v>202400</v>
      </c>
      <c r="B72" t="s">
        <v>132</v>
      </c>
      <c r="C72" t="s">
        <v>138</v>
      </c>
      <c r="D72">
        <v>16</v>
      </c>
      <c r="E72">
        <v>247500</v>
      </c>
    </row>
    <row r="73" spans="1:5" x14ac:dyDescent="0.25">
      <c r="A73">
        <v>202400</v>
      </c>
      <c r="B73" t="s">
        <v>132</v>
      </c>
      <c r="C73" t="s">
        <v>140</v>
      </c>
      <c r="D73">
        <v>16</v>
      </c>
      <c r="E73">
        <v>245025</v>
      </c>
    </row>
    <row r="74" spans="1:5" x14ac:dyDescent="0.25">
      <c r="A74">
        <v>202400</v>
      </c>
      <c r="B74" t="s">
        <v>132</v>
      </c>
      <c r="C74" t="s">
        <v>141</v>
      </c>
      <c r="D74">
        <v>16</v>
      </c>
      <c r="E74">
        <v>214375</v>
      </c>
    </row>
    <row r="75" spans="1:5" x14ac:dyDescent="0.25">
      <c r="A75">
        <v>202400</v>
      </c>
      <c r="B75" t="s">
        <v>132</v>
      </c>
      <c r="C75" t="s">
        <v>144</v>
      </c>
      <c r="D75">
        <v>23</v>
      </c>
      <c r="E75">
        <v>330000</v>
      </c>
    </row>
    <row r="76" spans="1:5" x14ac:dyDescent="0.25">
      <c r="A76">
        <v>202400</v>
      </c>
      <c r="B76" t="s">
        <v>132</v>
      </c>
      <c r="C76" t="s">
        <v>145</v>
      </c>
      <c r="D76">
        <v>20</v>
      </c>
      <c r="E76">
        <v>255750</v>
      </c>
    </row>
    <row r="77" spans="1:5" x14ac:dyDescent="0.25">
      <c r="A77">
        <v>202400</v>
      </c>
      <c r="B77" t="s">
        <v>132</v>
      </c>
      <c r="C77" t="s">
        <v>146</v>
      </c>
      <c r="D77">
        <v>24</v>
      </c>
      <c r="E77">
        <v>343075</v>
      </c>
    </row>
    <row r="78" spans="1:5" x14ac:dyDescent="0.25">
      <c r="A78">
        <v>202400</v>
      </c>
      <c r="B78" t="s">
        <v>132</v>
      </c>
      <c r="C78" t="s">
        <v>133</v>
      </c>
      <c r="D78">
        <v>25</v>
      </c>
      <c r="E78">
        <v>99012.5</v>
      </c>
    </row>
    <row r="79" spans="1:5" x14ac:dyDescent="0.25">
      <c r="A79">
        <v>202400</v>
      </c>
      <c r="B79" t="s">
        <v>132</v>
      </c>
      <c r="C79" t="s">
        <v>134</v>
      </c>
      <c r="D79">
        <v>18</v>
      </c>
      <c r="E79">
        <v>86775</v>
      </c>
    </row>
    <row r="80" spans="1:5" x14ac:dyDescent="0.25">
      <c r="A80">
        <v>202400</v>
      </c>
      <c r="B80" t="s">
        <v>132</v>
      </c>
      <c r="C80" t="s">
        <v>147</v>
      </c>
      <c r="D80">
        <v>59</v>
      </c>
      <c r="E80">
        <v>142350</v>
      </c>
    </row>
    <row r="81" spans="1:5" x14ac:dyDescent="0.25">
      <c r="A81">
        <v>202400</v>
      </c>
      <c r="B81" t="s">
        <v>132</v>
      </c>
      <c r="C81" t="s">
        <v>139</v>
      </c>
      <c r="D81">
        <v>114</v>
      </c>
      <c r="E81">
        <v>507675</v>
      </c>
    </row>
    <row r="82" spans="1:5" x14ac:dyDescent="0.25">
      <c r="A82">
        <v>202500</v>
      </c>
      <c r="B82" t="s">
        <v>132</v>
      </c>
      <c r="C82" t="s">
        <v>148</v>
      </c>
      <c r="D82">
        <v>4</v>
      </c>
      <c r="E82">
        <v>33000</v>
      </c>
    </row>
    <row r="83" spans="1:5" x14ac:dyDescent="0.25">
      <c r="A83">
        <v>202500</v>
      </c>
      <c r="B83" t="s">
        <v>132</v>
      </c>
      <c r="C83" t="s">
        <v>134</v>
      </c>
      <c r="D83">
        <v>16</v>
      </c>
      <c r="E83">
        <v>62300</v>
      </c>
    </row>
    <row r="84" spans="1:5" x14ac:dyDescent="0.25">
      <c r="A84">
        <v>202500</v>
      </c>
      <c r="B84" t="s">
        <v>132</v>
      </c>
      <c r="C84" t="s">
        <v>147</v>
      </c>
      <c r="D84">
        <v>11</v>
      </c>
      <c r="E84">
        <v>30112.5</v>
      </c>
    </row>
    <row r="85" spans="1:5" x14ac:dyDescent="0.25">
      <c r="A85">
        <v>202500</v>
      </c>
      <c r="B85" t="s">
        <v>132</v>
      </c>
      <c r="C85" t="s">
        <v>139</v>
      </c>
      <c r="D85">
        <v>8</v>
      </c>
      <c r="E85">
        <v>9360</v>
      </c>
    </row>
    <row r="86" spans="1:5" x14ac:dyDescent="0.25">
      <c r="A86">
        <v>202100</v>
      </c>
      <c r="B86" t="s">
        <v>149</v>
      </c>
      <c r="C86" t="s">
        <v>150</v>
      </c>
      <c r="D86">
        <v>13</v>
      </c>
      <c r="E86">
        <v>115261.5</v>
      </c>
    </row>
    <row r="87" spans="1:5" x14ac:dyDescent="0.25">
      <c r="A87">
        <v>202100</v>
      </c>
      <c r="B87" t="s">
        <v>149</v>
      </c>
      <c r="C87" t="s">
        <v>151</v>
      </c>
      <c r="D87">
        <v>11</v>
      </c>
      <c r="E87">
        <v>67959.740000000005</v>
      </c>
    </row>
    <row r="88" spans="1:5" x14ac:dyDescent="0.25">
      <c r="A88">
        <v>202200</v>
      </c>
      <c r="B88" t="s">
        <v>149</v>
      </c>
      <c r="C88" t="s">
        <v>150</v>
      </c>
      <c r="D88">
        <v>15</v>
      </c>
      <c r="E88">
        <v>108682.5</v>
      </c>
    </row>
    <row r="89" spans="1:5" x14ac:dyDescent="0.25">
      <c r="A89">
        <v>202200</v>
      </c>
      <c r="B89" t="s">
        <v>149</v>
      </c>
      <c r="C89" t="s">
        <v>151</v>
      </c>
      <c r="D89">
        <v>8</v>
      </c>
      <c r="E89">
        <v>59859.14</v>
      </c>
    </row>
    <row r="90" spans="1:5" x14ac:dyDescent="0.25">
      <c r="A90">
        <v>202300</v>
      </c>
      <c r="B90" t="s">
        <v>149</v>
      </c>
      <c r="C90" t="s">
        <v>150</v>
      </c>
      <c r="D90">
        <v>22</v>
      </c>
      <c r="E90">
        <v>175979</v>
      </c>
    </row>
    <row r="91" spans="1:5" x14ac:dyDescent="0.25">
      <c r="A91">
        <v>202300</v>
      </c>
      <c r="B91" t="s">
        <v>149</v>
      </c>
      <c r="C91" t="s">
        <v>151</v>
      </c>
      <c r="D91">
        <v>10</v>
      </c>
      <c r="E91">
        <v>71651.820000000007</v>
      </c>
    </row>
    <row r="92" spans="1:5" x14ac:dyDescent="0.25">
      <c r="A92">
        <v>202400</v>
      </c>
      <c r="B92" t="s">
        <v>149</v>
      </c>
      <c r="C92" t="s">
        <v>150</v>
      </c>
      <c r="D92">
        <v>11</v>
      </c>
      <c r="E92">
        <v>93800.03</v>
      </c>
    </row>
    <row r="93" spans="1:5" x14ac:dyDescent="0.25">
      <c r="A93">
        <v>202400</v>
      </c>
      <c r="B93" t="s">
        <v>149</v>
      </c>
      <c r="C93" t="s">
        <v>151</v>
      </c>
      <c r="D93">
        <v>7</v>
      </c>
      <c r="E93">
        <v>33517.5</v>
      </c>
    </row>
    <row r="94" spans="1:5" x14ac:dyDescent="0.25">
      <c r="A94">
        <v>202500</v>
      </c>
      <c r="B94" t="s">
        <v>149</v>
      </c>
      <c r="C94" t="s">
        <v>150</v>
      </c>
      <c r="D94">
        <v>6</v>
      </c>
      <c r="E94">
        <v>25477.5</v>
      </c>
    </row>
    <row r="95" spans="1:5" x14ac:dyDescent="0.25">
      <c r="A95">
        <v>202500</v>
      </c>
      <c r="B95" t="s">
        <v>149</v>
      </c>
      <c r="C95" t="s">
        <v>151</v>
      </c>
      <c r="D95">
        <v>7</v>
      </c>
      <c r="E95">
        <v>34335</v>
      </c>
    </row>
    <row r="96" spans="1:5" x14ac:dyDescent="0.25">
      <c r="A96">
        <v>202100</v>
      </c>
      <c r="B96" t="s">
        <v>152</v>
      </c>
      <c r="C96" t="s">
        <v>153</v>
      </c>
      <c r="D96">
        <v>12</v>
      </c>
      <c r="E96">
        <v>107160.87</v>
      </c>
    </row>
    <row r="97" spans="1:5" x14ac:dyDescent="0.25">
      <c r="A97">
        <v>202200</v>
      </c>
      <c r="B97" t="s">
        <v>152</v>
      </c>
      <c r="C97" t="s">
        <v>153</v>
      </c>
      <c r="D97">
        <v>8</v>
      </c>
      <c r="E97">
        <v>64500</v>
      </c>
    </row>
    <row r="98" spans="1:5" x14ac:dyDescent="0.25">
      <c r="A98">
        <v>202200</v>
      </c>
      <c r="B98" t="s">
        <v>152</v>
      </c>
      <c r="C98" t="s">
        <v>154</v>
      </c>
      <c r="D98">
        <v>7</v>
      </c>
      <c r="E98">
        <v>40301.75</v>
      </c>
    </row>
    <row r="99" spans="1:5" x14ac:dyDescent="0.25">
      <c r="A99">
        <v>202300</v>
      </c>
      <c r="B99" t="s">
        <v>152</v>
      </c>
      <c r="C99" t="s">
        <v>153</v>
      </c>
      <c r="D99">
        <v>22</v>
      </c>
      <c r="E99">
        <v>181475</v>
      </c>
    </row>
    <row r="100" spans="1:5" x14ac:dyDescent="0.25">
      <c r="A100">
        <v>202300</v>
      </c>
      <c r="B100" t="s">
        <v>152</v>
      </c>
      <c r="C100" t="s">
        <v>154</v>
      </c>
      <c r="D100">
        <v>10</v>
      </c>
      <c r="E100">
        <v>35109.5</v>
      </c>
    </row>
    <row r="101" spans="1:5" x14ac:dyDescent="0.25">
      <c r="A101">
        <v>202400</v>
      </c>
      <c r="B101" t="s">
        <v>152</v>
      </c>
      <c r="C101" t="s">
        <v>153</v>
      </c>
      <c r="D101">
        <v>12</v>
      </c>
      <c r="E101">
        <v>93058</v>
      </c>
    </row>
    <row r="102" spans="1:5" x14ac:dyDescent="0.25">
      <c r="A102">
        <v>202400</v>
      </c>
      <c r="B102" t="s">
        <v>152</v>
      </c>
      <c r="C102" t="s">
        <v>154</v>
      </c>
      <c r="D102">
        <v>10</v>
      </c>
      <c r="E102">
        <v>27078.75</v>
      </c>
    </row>
    <row r="103" spans="1:5" x14ac:dyDescent="0.25">
      <c r="A103">
        <v>202500</v>
      </c>
      <c r="B103" t="s">
        <v>152</v>
      </c>
      <c r="C103" t="s">
        <v>153</v>
      </c>
      <c r="D103">
        <v>7</v>
      </c>
      <c r="E103">
        <v>36890</v>
      </c>
    </row>
    <row r="104" spans="1:5" x14ac:dyDescent="0.25">
      <c r="A104">
        <v>202200</v>
      </c>
      <c r="B104" t="s">
        <v>155</v>
      </c>
      <c r="C104" t="s">
        <v>156</v>
      </c>
      <c r="D104">
        <v>22</v>
      </c>
      <c r="E104">
        <v>123932.5</v>
      </c>
    </row>
    <row r="105" spans="1:5" x14ac:dyDescent="0.25">
      <c r="A105">
        <v>202200</v>
      </c>
      <c r="B105" t="s">
        <v>155</v>
      </c>
      <c r="C105" t="s">
        <v>157</v>
      </c>
      <c r="D105">
        <v>29</v>
      </c>
      <c r="E105">
        <v>195577.5</v>
      </c>
    </row>
    <row r="106" spans="1:5" x14ac:dyDescent="0.25">
      <c r="A106">
        <v>202300</v>
      </c>
      <c r="B106" t="s">
        <v>155</v>
      </c>
      <c r="C106" t="s">
        <v>158</v>
      </c>
      <c r="D106">
        <v>11</v>
      </c>
      <c r="E106">
        <v>66750</v>
      </c>
    </row>
    <row r="107" spans="1:5" x14ac:dyDescent="0.25">
      <c r="A107">
        <v>202300</v>
      </c>
      <c r="B107" t="s">
        <v>155</v>
      </c>
      <c r="C107" t="s">
        <v>156</v>
      </c>
      <c r="D107">
        <v>22</v>
      </c>
      <c r="E107">
        <v>139367.5</v>
      </c>
    </row>
    <row r="108" spans="1:5" x14ac:dyDescent="0.25">
      <c r="A108">
        <v>202300</v>
      </c>
      <c r="B108" t="s">
        <v>155</v>
      </c>
      <c r="C108" t="s">
        <v>159</v>
      </c>
      <c r="D108">
        <v>29</v>
      </c>
      <c r="E108">
        <v>112340.86</v>
      </c>
    </row>
    <row r="109" spans="1:5" x14ac:dyDescent="0.25">
      <c r="A109">
        <v>202300</v>
      </c>
      <c r="B109" t="s">
        <v>155</v>
      </c>
      <c r="C109" t="s">
        <v>157</v>
      </c>
      <c r="D109">
        <v>23</v>
      </c>
      <c r="E109">
        <v>138840</v>
      </c>
    </row>
    <row r="110" spans="1:5" x14ac:dyDescent="0.25">
      <c r="A110">
        <v>202400</v>
      </c>
      <c r="B110" t="s">
        <v>155</v>
      </c>
      <c r="C110" t="s">
        <v>156</v>
      </c>
      <c r="D110">
        <v>18</v>
      </c>
      <c r="E110">
        <v>74647.5</v>
      </c>
    </row>
    <row r="111" spans="1:5" x14ac:dyDescent="0.25">
      <c r="A111">
        <v>202400</v>
      </c>
      <c r="B111" t="s">
        <v>155</v>
      </c>
      <c r="C111" t="s">
        <v>159</v>
      </c>
      <c r="D111">
        <v>25</v>
      </c>
      <c r="E111">
        <v>95220</v>
      </c>
    </row>
    <row r="112" spans="1:5" x14ac:dyDescent="0.25">
      <c r="A112">
        <v>202400</v>
      </c>
      <c r="B112" t="s">
        <v>155</v>
      </c>
      <c r="C112" t="s">
        <v>157</v>
      </c>
      <c r="D112">
        <v>20</v>
      </c>
      <c r="E112">
        <v>87802.5</v>
      </c>
    </row>
    <row r="113" spans="1:5" x14ac:dyDescent="0.25">
      <c r="A113">
        <v>202500</v>
      </c>
      <c r="B113" t="s">
        <v>155</v>
      </c>
      <c r="C113" t="s">
        <v>159</v>
      </c>
      <c r="D113">
        <v>26</v>
      </c>
      <c r="E113">
        <v>89527.5</v>
      </c>
    </row>
    <row r="114" spans="1:5" x14ac:dyDescent="0.25">
      <c r="A114">
        <v>202500</v>
      </c>
      <c r="B114" t="s">
        <v>155</v>
      </c>
      <c r="C114" t="s">
        <v>157</v>
      </c>
      <c r="D114">
        <v>26</v>
      </c>
      <c r="E114">
        <v>79522.5</v>
      </c>
    </row>
    <row r="115" spans="1:5" x14ac:dyDescent="0.25">
      <c r="A115">
        <v>202100</v>
      </c>
      <c r="B115" t="s">
        <v>160</v>
      </c>
      <c r="C115" t="s">
        <v>161</v>
      </c>
      <c r="D115">
        <v>20</v>
      </c>
      <c r="E115">
        <v>149520</v>
      </c>
    </row>
    <row r="116" spans="1:5" x14ac:dyDescent="0.25">
      <c r="A116">
        <v>202100</v>
      </c>
      <c r="B116" t="s">
        <v>160</v>
      </c>
      <c r="C116" t="s">
        <v>162</v>
      </c>
      <c r="D116">
        <v>13</v>
      </c>
      <c r="E116">
        <v>108564</v>
      </c>
    </row>
    <row r="117" spans="1:5" x14ac:dyDescent="0.25">
      <c r="A117">
        <v>202100</v>
      </c>
      <c r="B117" t="s">
        <v>160</v>
      </c>
      <c r="C117" t="s">
        <v>163</v>
      </c>
      <c r="D117">
        <v>15</v>
      </c>
      <c r="E117">
        <v>148092</v>
      </c>
    </row>
    <row r="118" spans="1:5" x14ac:dyDescent="0.25">
      <c r="A118">
        <v>202200</v>
      </c>
      <c r="B118" t="s">
        <v>160</v>
      </c>
      <c r="C118" t="s">
        <v>161</v>
      </c>
      <c r="D118">
        <v>22</v>
      </c>
      <c r="E118">
        <v>143957.5</v>
      </c>
    </row>
    <row r="119" spans="1:5" x14ac:dyDescent="0.25">
      <c r="A119">
        <v>202200</v>
      </c>
      <c r="B119" t="s">
        <v>160</v>
      </c>
      <c r="C119" t="s">
        <v>162</v>
      </c>
      <c r="D119">
        <v>14</v>
      </c>
      <c r="E119">
        <v>96901</v>
      </c>
    </row>
    <row r="120" spans="1:5" x14ac:dyDescent="0.25">
      <c r="A120">
        <v>202200</v>
      </c>
      <c r="B120" t="s">
        <v>160</v>
      </c>
      <c r="C120" t="s">
        <v>164</v>
      </c>
      <c r="D120">
        <v>18</v>
      </c>
      <c r="E120">
        <v>109266.58</v>
      </c>
    </row>
    <row r="121" spans="1:5" x14ac:dyDescent="0.25">
      <c r="A121">
        <v>202200</v>
      </c>
      <c r="B121" t="s">
        <v>160</v>
      </c>
      <c r="C121" t="s">
        <v>163</v>
      </c>
      <c r="D121">
        <v>17</v>
      </c>
      <c r="E121">
        <v>143190</v>
      </c>
    </row>
    <row r="122" spans="1:5" x14ac:dyDescent="0.25">
      <c r="A122">
        <v>202300</v>
      </c>
      <c r="B122" t="s">
        <v>160</v>
      </c>
      <c r="C122" t="s">
        <v>161</v>
      </c>
      <c r="D122">
        <v>19</v>
      </c>
      <c r="E122">
        <v>121375</v>
      </c>
    </row>
    <row r="123" spans="1:5" x14ac:dyDescent="0.25">
      <c r="A123">
        <v>202300</v>
      </c>
      <c r="B123" t="s">
        <v>160</v>
      </c>
      <c r="C123" t="s">
        <v>162</v>
      </c>
      <c r="D123">
        <v>15</v>
      </c>
      <c r="E123">
        <v>97010</v>
      </c>
    </row>
    <row r="124" spans="1:5" x14ac:dyDescent="0.25">
      <c r="A124">
        <v>202300</v>
      </c>
      <c r="B124" t="s">
        <v>160</v>
      </c>
      <c r="C124" t="s">
        <v>165</v>
      </c>
      <c r="D124">
        <v>69</v>
      </c>
      <c r="E124">
        <v>290035</v>
      </c>
    </row>
    <row r="125" spans="1:5" x14ac:dyDescent="0.25">
      <c r="A125">
        <v>202300</v>
      </c>
      <c r="B125" t="s">
        <v>160</v>
      </c>
      <c r="C125" t="s">
        <v>164</v>
      </c>
      <c r="D125">
        <v>10</v>
      </c>
      <c r="E125">
        <v>52800</v>
      </c>
    </row>
    <row r="126" spans="1:5" x14ac:dyDescent="0.25">
      <c r="A126">
        <v>202300</v>
      </c>
      <c r="B126" t="s">
        <v>160</v>
      </c>
      <c r="C126" t="s">
        <v>163</v>
      </c>
      <c r="D126">
        <v>16</v>
      </c>
      <c r="E126">
        <v>139320</v>
      </c>
    </row>
    <row r="127" spans="1:5" x14ac:dyDescent="0.25">
      <c r="A127">
        <v>202400</v>
      </c>
      <c r="B127" t="s">
        <v>160</v>
      </c>
      <c r="C127" t="s">
        <v>161</v>
      </c>
      <c r="D127">
        <v>19</v>
      </c>
      <c r="E127">
        <v>85573.5</v>
      </c>
    </row>
    <row r="128" spans="1:5" x14ac:dyDescent="0.25">
      <c r="A128">
        <v>202400</v>
      </c>
      <c r="B128" t="s">
        <v>160</v>
      </c>
      <c r="C128" t="s">
        <v>162</v>
      </c>
      <c r="D128">
        <v>11</v>
      </c>
      <c r="E128">
        <v>42782.5</v>
      </c>
    </row>
    <row r="129" spans="1:5" x14ac:dyDescent="0.25">
      <c r="A129">
        <v>202400</v>
      </c>
      <c r="B129" t="s">
        <v>160</v>
      </c>
      <c r="C129" t="s">
        <v>166</v>
      </c>
      <c r="D129">
        <v>65</v>
      </c>
      <c r="E129">
        <v>210464.55</v>
      </c>
    </row>
    <row r="130" spans="1:5" x14ac:dyDescent="0.25">
      <c r="A130">
        <v>202400</v>
      </c>
      <c r="B130" t="s">
        <v>160</v>
      </c>
      <c r="C130" t="s">
        <v>165</v>
      </c>
      <c r="D130">
        <v>16</v>
      </c>
      <c r="E130">
        <v>70112.5</v>
      </c>
    </row>
    <row r="131" spans="1:5" x14ac:dyDescent="0.25">
      <c r="A131">
        <v>202400</v>
      </c>
      <c r="B131" t="s">
        <v>160</v>
      </c>
      <c r="C131" t="s">
        <v>164</v>
      </c>
      <c r="D131">
        <v>6</v>
      </c>
      <c r="E131">
        <v>17758.75</v>
      </c>
    </row>
    <row r="132" spans="1:5" x14ac:dyDescent="0.25">
      <c r="A132">
        <v>202400</v>
      </c>
      <c r="B132" t="s">
        <v>160</v>
      </c>
      <c r="C132" t="s">
        <v>163</v>
      </c>
      <c r="D132">
        <v>11</v>
      </c>
      <c r="E132">
        <v>104430</v>
      </c>
    </row>
    <row r="133" spans="1:5" x14ac:dyDescent="0.25">
      <c r="A133">
        <v>202500</v>
      </c>
      <c r="B133" t="s">
        <v>160</v>
      </c>
      <c r="C133" t="s">
        <v>166</v>
      </c>
      <c r="D133">
        <v>10</v>
      </c>
      <c r="E133">
        <v>24672.5</v>
      </c>
    </row>
    <row r="134" spans="1:5" x14ac:dyDescent="0.25">
      <c r="A134">
        <v>202500</v>
      </c>
      <c r="B134" t="s">
        <v>160</v>
      </c>
      <c r="C134" t="s">
        <v>167</v>
      </c>
      <c r="D134">
        <v>21</v>
      </c>
      <c r="E134">
        <v>63104.1</v>
      </c>
    </row>
    <row r="135" spans="1:5" x14ac:dyDescent="0.25">
      <c r="A135">
        <v>202500</v>
      </c>
      <c r="B135" t="s">
        <v>160</v>
      </c>
      <c r="C135" t="s">
        <v>163</v>
      </c>
      <c r="D135">
        <v>3</v>
      </c>
      <c r="E135">
        <v>15480</v>
      </c>
    </row>
    <row r="136" spans="1:5" x14ac:dyDescent="0.25">
      <c r="A136">
        <v>202300</v>
      </c>
      <c r="B136" t="s">
        <v>168</v>
      </c>
      <c r="C136" t="s">
        <v>169</v>
      </c>
      <c r="D136">
        <v>18</v>
      </c>
      <c r="E136">
        <v>214701.22</v>
      </c>
    </row>
    <row r="137" spans="1:5" x14ac:dyDescent="0.25">
      <c r="A137">
        <v>202300</v>
      </c>
      <c r="B137" t="s">
        <v>168</v>
      </c>
      <c r="C137" t="s">
        <v>170</v>
      </c>
      <c r="D137">
        <v>18</v>
      </c>
      <c r="E137">
        <v>201861.23</v>
      </c>
    </row>
    <row r="138" spans="1:5" x14ac:dyDescent="0.25">
      <c r="A138">
        <v>202400</v>
      </c>
      <c r="B138" t="s">
        <v>168</v>
      </c>
      <c r="C138" t="s">
        <v>171</v>
      </c>
      <c r="D138">
        <v>8</v>
      </c>
      <c r="E138">
        <v>160000</v>
      </c>
    </row>
    <row r="139" spans="1:5" x14ac:dyDescent="0.25">
      <c r="A139">
        <v>202400</v>
      </c>
      <c r="B139" t="s">
        <v>168</v>
      </c>
      <c r="C139" t="s">
        <v>172</v>
      </c>
      <c r="D139">
        <v>18</v>
      </c>
      <c r="E139">
        <v>172998.2</v>
      </c>
    </row>
    <row r="140" spans="1:5" x14ac:dyDescent="0.25">
      <c r="A140">
        <v>202300</v>
      </c>
      <c r="B140" t="s">
        <v>173</v>
      </c>
      <c r="C140" t="s">
        <v>174</v>
      </c>
      <c r="D140">
        <v>11</v>
      </c>
      <c r="E140">
        <v>64855</v>
      </c>
    </row>
    <row r="141" spans="1:5" x14ac:dyDescent="0.25">
      <c r="A141">
        <v>202400</v>
      </c>
      <c r="B141" t="s">
        <v>173</v>
      </c>
      <c r="C141" t="s">
        <v>174</v>
      </c>
      <c r="D141">
        <v>13</v>
      </c>
      <c r="E141">
        <v>24750.1</v>
      </c>
    </row>
    <row r="142" spans="1:5" x14ac:dyDescent="0.25">
      <c r="A142">
        <v>202100</v>
      </c>
      <c r="B142" t="s">
        <v>175</v>
      </c>
      <c r="C142" t="s">
        <v>176</v>
      </c>
      <c r="D142">
        <v>8</v>
      </c>
      <c r="E142">
        <v>81231.33</v>
      </c>
    </row>
    <row r="143" spans="1:5" x14ac:dyDescent="0.25">
      <c r="A143">
        <v>202100</v>
      </c>
      <c r="B143" t="s">
        <v>175</v>
      </c>
      <c r="C143" t="s">
        <v>177</v>
      </c>
      <c r="D143">
        <v>24</v>
      </c>
      <c r="E143">
        <v>241095.5</v>
      </c>
    </row>
    <row r="144" spans="1:5" x14ac:dyDescent="0.25">
      <c r="A144">
        <v>202100</v>
      </c>
      <c r="B144" t="s">
        <v>175</v>
      </c>
      <c r="C144" t="s">
        <v>178</v>
      </c>
      <c r="D144">
        <v>3</v>
      </c>
      <c r="E144">
        <v>11396.82</v>
      </c>
    </row>
    <row r="145" spans="1:5" x14ac:dyDescent="0.25">
      <c r="A145">
        <v>202100</v>
      </c>
      <c r="B145" t="s">
        <v>175</v>
      </c>
      <c r="C145" t="s">
        <v>179</v>
      </c>
      <c r="D145">
        <v>12</v>
      </c>
      <c r="E145">
        <v>82295</v>
      </c>
    </row>
    <row r="146" spans="1:5" x14ac:dyDescent="0.25">
      <c r="A146">
        <v>202100</v>
      </c>
      <c r="B146" t="s">
        <v>175</v>
      </c>
      <c r="C146" t="s">
        <v>180</v>
      </c>
      <c r="D146">
        <v>3</v>
      </c>
      <c r="E146">
        <v>11137</v>
      </c>
    </row>
    <row r="147" spans="1:5" x14ac:dyDescent="0.25">
      <c r="A147">
        <v>202200</v>
      </c>
      <c r="B147" t="s">
        <v>175</v>
      </c>
      <c r="C147" t="s">
        <v>176</v>
      </c>
      <c r="D147">
        <v>13</v>
      </c>
      <c r="E147">
        <v>100636</v>
      </c>
    </row>
    <row r="148" spans="1:5" x14ac:dyDescent="0.25">
      <c r="A148">
        <v>202200</v>
      </c>
      <c r="B148" t="s">
        <v>175</v>
      </c>
      <c r="C148" t="s">
        <v>177</v>
      </c>
      <c r="D148">
        <v>16</v>
      </c>
      <c r="E148">
        <v>166800</v>
      </c>
    </row>
    <row r="149" spans="1:5" x14ac:dyDescent="0.25">
      <c r="A149">
        <v>202200</v>
      </c>
      <c r="B149" t="s">
        <v>175</v>
      </c>
      <c r="C149" t="s">
        <v>181</v>
      </c>
      <c r="D149">
        <v>2</v>
      </c>
      <c r="E149">
        <v>177.78</v>
      </c>
    </row>
    <row r="150" spans="1:5" x14ac:dyDescent="0.25">
      <c r="A150">
        <v>202300</v>
      </c>
      <c r="B150" t="s">
        <v>175</v>
      </c>
      <c r="C150" t="s">
        <v>176</v>
      </c>
      <c r="D150">
        <v>1</v>
      </c>
      <c r="E150">
        <v>926.7</v>
      </c>
    </row>
    <row r="151" spans="1:5" x14ac:dyDescent="0.25">
      <c r="A151">
        <v>202300</v>
      </c>
      <c r="B151" t="s">
        <v>175</v>
      </c>
      <c r="C151" t="s">
        <v>177</v>
      </c>
      <c r="D151">
        <v>7</v>
      </c>
      <c r="E151">
        <v>13908.86</v>
      </c>
    </row>
    <row r="152" spans="1:5" x14ac:dyDescent="0.25">
      <c r="A152">
        <v>202300</v>
      </c>
      <c r="B152" t="s">
        <v>175</v>
      </c>
      <c r="C152" t="s">
        <v>182</v>
      </c>
      <c r="D152">
        <v>4</v>
      </c>
      <c r="E152">
        <v>329.56</v>
      </c>
    </row>
    <row r="153" spans="1:5" x14ac:dyDescent="0.25">
      <c r="A153">
        <v>202300</v>
      </c>
      <c r="B153" t="s">
        <v>175</v>
      </c>
      <c r="C153" t="s">
        <v>183</v>
      </c>
      <c r="D153">
        <v>28</v>
      </c>
      <c r="E153">
        <v>191795</v>
      </c>
    </row>
    <row r="154" spans="1:5" x14ac:dyDescent="0.25">
      <c r="A154">
        <v>202400</v>
      </c>
      <c r="B154" t="s">
        <v>175</v>
      </c>
      <c r="C154" t="s">
        <v>184</v>
      </c>
      <c r="D154">
        <v>503</v>
      </c>
      <c r="E154">
        <v>306830</v>
      </c>
    </row>
    <row r="155" spans="1:5" x14ac:dyDescent="0.25">
      <c r="A155">
        <v>202400</v>
      </c>
      <c r="B155" t="s">
        <v>175</v>
      </c>
      <c r="C155" t="s">
        <v>183</v>
      </c>
      <c r="D155">
        <v>24</v>
      </c>
      <c r="E155">
        <v>93005</v>
      </c>
    </row>
  </sheetData>
  <autoFilter ref="A1:G1" xr:uid="{B12AFF4E-6C2B-4E03-823B-5AC0612AD30D}">
    <sortState xmlns:xlrd2="http://schemas.microsoft.com/office/spreadsheetml/2017/richdata2" ref="A2:G155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TD</vt:lpstr>
      <vt:lpstr>PREGRADO</vt:lpstr>
      <vt:lpstr>Hoja1</vt:lpstr>
      <vt:lpstr>POSGRADO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Doménica Nicole Villalva</dc:creator>
  <cp:keywords/>
  <dc:description/>
  <cp:lastModifiedBy>(Estudiante) Andrei David Flores Espinoza</cp:lastModifiedBy>
  <cp:revision/>
  <dcterms:created xsi:type="dcterms:W3CDTF">2025-01-14T17:03:38Z</dcterms:created>
  <dcterms:modified xsi:type="dcterms:W3CDTF">2025-01-17T20:54:04Z</dcterms:modified>
  <cp:category/>
  <cp:contentStatus/>
</cp:coreProperties>
</file>